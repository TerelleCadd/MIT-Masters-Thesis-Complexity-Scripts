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drawings/drawing1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mitprod-my.sharepoint.com/personal/tcadd_mit_edu/Documents/Grad School/Research/Automated DSM Information/DSMs/Complexity Calculation/"/>
    </mc:Choice>
  </mc:AlternateContent>
  <xr:revisionPtr revIDLastSave="2016" documentId="8_{530215BD-590C-4551-8FF2-04DAF62E7C91}" xr6:coauthVersionLast="47" xr6:coauthVersionMax="47" xr10:uidLastSave="{A5D9A4E2-F43E-44C6-AB61-E1A71D44D774}"/>
  <bookViews>
    <workbookView xWindow="-120" yWindow="-120" windowWidth="29040" windowHeight="15720" xr2:uid="{091927DC-B8F1-4EE4-851B-9096EEAD9F88}"/>
  </bookViews>
  <sheets>
    <sheet name="C1 Summary" sheetId="54" r:id="rId1"/>
    <sheet name="C1 System Weights" sheetId="52" r:id="rId2"/>
    <sheet name="C1 Metric Descriptions" sheetId="53" r:id="rId3"/>
    <sheet name="DSM Elements" sheetId="55" r:id="rId4"/>
    <sheet name="C2 Interface Weights" sheetId="3" r:id="rId5"/>
    <sheet name="Financial Interface" sheetId="49" state="hidden" r:id="rId6"/>
    <sheet name="Legal Interface" sheetId="50" state="hidden" r:id="rId7"/>
    <sheet name="Operation Interface" sheetId="42" state="hidden" r:id="rId8"/>
    <sheet name="Service Interface" sheetId="43" state="hidden" r:id="rId9"/>
    <sheet name="Prereq Interface" sheetId="44" state="hidden" r:id="rId10"/>
    <sheet name="Coordination Interface" sheetId="45" state="hidden" r:id="rId11"/>
    <sheet name="Definition Interface" sheetId="46" state="hidden" r:id="rId12"/>
    <sheet name="Contractual Interface" sheetId="47" state="hidden" r:id="rId13"/>
    <sheet name="Energy Interface" sheetId="39" state="hidden" r:id="rId14"/>
    <sheet name="Contribution Interface" sheetId="40" state="hidden" r:id="rId15"/>
    <sheet name="Development Interface" sheetId="41" state="hidden" r:id="rId16"/>
    <sheet name="Mass Interface" sheetId="36" state="hidden" r:id="rId17"/>
    <sheet name="Information Interface" sheetId="37" state="hidden" r:id="rId18"/>
    <sheet name="Physical Interface" sheetId="38" state="hidden" r:id="rId19"/>
    <sheet name="Deliverable Interface" sheetId="48" state="hidden" r:id="rId20"/>
    <sheet name="C2 Interface Weights Summary" sheetId="51" r:id="rId21"/>
    <sheet name="Function Criticality" sheetId="2" r:id="rId22"/>
    <sheet name="Function Categorization" sheetId="4" r:id="rId23"/>
    <sheet name="Utility AHP" sheetId="56" r:id="rId24"/>
    <sheet name="Utility AHP (2)" sheetId="57" r:id="rId25"/>
    <sheet name="Deploy Smokejumpers" sheetId="30" state="hidden" r:id="rId26"/>
    <sheet name="Refuel Airborne Assets" sheetId="32" state="hidden" r:id="rId27"/>
    <sheet name="Provide MRO for Assets" sheetId="33" state="hidden" r:id="rId28"/>
    <sheet name="Refill Water and Fire Retardant" sheetId="34" state="hidden" r:id="rId29"/>
    <sheet name="Activate MAFFS" sheetId="31" state="hidden" r:id="rId30"/>
    <sheet name="Issue Commands to Assets" sheetId="25" state="hidden" r:id="rId31"/>
    <sheet name="Communicate to Resources" sheetId="26" state="hidden" r:id="rId32"/>
    <sheet name="Maintain Communication Assets" sheetId="27" state="hidden" r:id="rId33"/>
    <sheet name="Maintain Comm Assets and C3" sheetId="28" state="hidden" r:id="rId34"/>
    <sheet name="Deploy First Response Assets" sheetId="29" state="hidden" r:id="rId35"/>
    <sheet name="Coordinate Air &amp; Ground Res" sheetId="23" state="hidden" r:id="rId36"/>
    <sheet name="Dynamically Allocate Resources" sheetId="24" state="hidden" r:id="rId37"/>
    <sheet name="Strategically Monitor Fires" sheetId="20" state="hidden" r:id="rId38"/>
    <sheet name="Gather Real Time Data" sheetId="21" state="hidden" r:id="rId39"/>
    <sheet name="Build Real Time SA" sheetId="22" state="hidden" r:id="rId40"/>
    <sheet name="Predict Fire Paths Behavior" sheetId="19" state="hidden" r:id="rId41"/>
    <sheet name="Visually Confirm Fires" sheetId="18" state="hidden" r:id="rId42"/>
    <sheet name="Detect Fires" sheetId="17" state="hidden" r:id="rId43"/>
    <sheet name="Tactically Monitor Fires" sheetId="15" state="hidden" r:id="rId44"/>
    <sheet name="Predict New Fires" sheetId="16" state="hidden" r:id="rId45"/>
    <sheet name="Spill Water from Ground Assets" sheetId="14" state="hidden" r:id="rId46"/>
    <sheet name="Establish Containment Lines" sheetId="13" state="hidden" r:id="rId47"/>
    <sheet name="Deploy Ground Assets" sheetId="12" state="hidden" r:id="rId48"/>
    <sheet name="Dispatch to Reloading Base" sheetId="11" state="hidden" r:id="rId49"/>
    <sheet name="Perform Post Drop Assessment" sheetId="10" state="hidden" r:id="rId50"/>
    <sheet name="Drop Fire Retardant" sheetId="9" state="hidden" r:id="rId51"/>
    <sheet name="Deploy Air Assets" sheetId="5" state="hidden" r:id="rId52"/>
    <sheet name="Lead Tankers" sheetId="6" state="hidden" r:id="rId53"/>
    <sheet name="Supervise Air Attacks" sheetId="7" state="hidden" r:id="rId54"/>
    <sheet name="Drop Water" sheetId="8" state="hidden" r:id="rId55"/>
  </sheets>
  <definedNames>
    <definedName name="_xlnm._FilterDatabase" localSheetId="20" hidden="1">'C2 Interface Weights Summary'!$A$1:$B$1</definedName>
    <definedName name="_xlnm._FilterDatabase" localSheetId="22" hidden="1">'Function Categorization'!$H$3:$I$3</definedName>
    <definedName name="_xlnm._FilterDatabase" localSheetId="21" hidden="1">'Function Criticality'!$AM$10:$AN$41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23" i="57" l="1"/>
  <c r="R38" i="57"/>
  <c r="L38" i="57"/>
  <c r="I38" i="57" a="1"/>
  <c r="I38" i="57" s="1"/>
  <c r="H38" i="57" a="1"/>
  <c r="H38" i="57" s="1"/>
  <c r="G38" i="57" a="1"/>
  <c r="G38" i="57" s="1"/>
  <c r="R37" i="57"/>
  <c r="L37" i="57"/>
  <c r="G37" i="57" a="1"/>
  <c r="G37" i="57" s="1"/>
  <c r="R36" i="57"/>
  <c r="L36" i="57"/>
  <c r="Q36" i="57"/>
  <c r="G36" i="57" a="1"/>
  <c r="G36" i="57" s="1"/>
  <c r="R35" i="57"/>
  <c r="L35" i="57"/>
  <c r="J34" i="57"/>
  <c r="I34" i="57"/>
  <c r="H34" i="57"/>
  <c r="G34" i="57"/>
  <c r="R24" i="57"/>
  <c r="L24" i="57"/>
  <c r="I24" i="57" a="1"/>
  <c r="I24" i="57" s="1"/>
  <c r="H24" i="57" a="1"/>
  <c r="H24" i="57" s="1"/>
  <c r="G24" i="57" a="1"/>
  <c r="G24" i="57" s="1"/>
  <c r="R23" i="57"/>
  <c r="L23" i="57"/>
  <c r="H23" i="57" a="1"/>
  <c r="H23" i="57" s="1"/>
  <c r="G23" i="57" a="1"/>
  <c r="G23" i="57" s="1"/>
  <c r="R22" i="57"/>
  <c r="L22" i="57"/>
  <c r="G22" i="57" a="1"/>
  <c r="G22" i="57" s="1"/>
  <c r="R21" i="57"/>
  <c r="L21" i="57"/>
  <c r="J20" i="57"/>
  <c r="I20" i="57"/>
  <c r="H20" i="57"/>
  <c r="G20" i="57"/>
  <c r="R14" i="57"/>
  <c r="L14" i="57"/>
  <c r="I14" i="57" a="1"/>
  <c r="I14" i="57" s="1"/>
  <c r="Q12" i="57" s="1"/>
  <c r="H14" i="57" a="1"/>
  <c r="H14" i="57" s="1"/>
  <c r="G14" i="57" a="1"/>
  <c r="G14" i="57" s="1"/>
  <c r="R13" i="57"/>
  <c r="L13" i="57"/>
  <c r="H13" i="57" a="1"/>
  <c r="H13" i="57" s="1"/>
  <c r="G13" i="57" a="1"/>
  <c r="G13" i="57" s="1"/>
  <c r="R12" i="57"/>
  <c r="L12" i="57"/>
  <c r="G12" i="57" a="1"/>
  <c r="G12" i="57" s="1"/>
  <c r="R11" i="57"/>
  <c r="L11" i="57"/>
  <c r="J10" i="57"/>
  <c r="I10" i="57"/>
  <c r="H10" i="57"/>
  <c r="G10" i="57"/>
  <c r="L25" i="52"/>
  <c r="L41" i="56"/>
  <c r="L45" i="56"/>
  <c r="I40" i="56"/>
  <c r="K47" i="56" a="1"/>
  <c r="K47" i="56" s="1"/>
  <c r="H43" i="56" a="1"/>
  <c r="H43" i="56" s="1"/>
  <c r="J46" i="56" a="1"/>
  <c r="J46" i="56" s="1"/>
  <c r="J47" i="56" a="1"/>
  <c r="J47" i="56" s="1"/>
  <c r="I45" i="56" a="1"/>
  <c r="I45" i="56" s="1"/>
  <c r="I46" i="56" a="1"/>
  <c r="I46" i="56" s="1"/>
  <c r="I47" i="56" a="1"/>
  <c r="I47" i="56" s="1"/>
  <c r="H44" i="56" a="1"/>
  <c r="H44" i="56" s="1"/>
  <c r="H45" i="56" a="1"/>
  <c r="H45" i="56" s="1"/>
  <c r="H46" i="56" a="1"/>
  <c r="H46" i="56" s="1"/>
  <c r="H47" i="56" a="1"/>
  <c r="H47" i="56"/>
  <c r="G43" i="56" a="1"/>
  <c r="G43" i="56" s="1"/>
  <c r="G44" i="56" a="1"/>
  <c r="G44" i="56" s="1"/>
  <c r="G45" i="56" a="1"/>
  <c r="G45" i="56" s="1"/>
  <c r="G46" i="56" a="1"/>
  <c r="G46" i="56" s="1"/>
  <c r="G47" i="56" a="1"/>
  <c r="G47" i="56" s="1"/>
  <c r="L47" i="56" a="1"/>
  <c r="L47" i="56" s="1"/>
  <c r="K46" i="56" a="1"/>
  <c r="K46" i="56" s="1"/>
  <c r="J45" i="56" a="1"/>
  <c r="J45" i="56" s="1"/>
  <c r="I44" i="56" a="1"/>
  <c r="I44" i="56" s="1"/>
  <c r="G42" i="56" a="1"/>
  <c r="G42" i="56" s="1"/>
  <c r="K26" i="56"/>
  <c r="L30" i="56" a="1"/>
  <c r="L30" i="56"/>
  <c r="W26" i="56" s="1"/>
  <c r="K30" i="56" a="1"/>
  <c r="K30" i="56" s="1"/>
  <c r="K29" i="56" a="1"/>
  <c r="K29" i="56" s="1"/>
  <c r="J29" i="56" a="1"/>
  <c r="J29" i="56" s="1"/>
  <c r="J30" i="56" a="1"/>
  <c r="J30" i="56" s="1"/>
  <c r="J28" i="56" a="1"/>
  <c r="J28" i="56" s="1"/>
  <c r="I28" i="56" a="1"/>
  <c r="I28" i="56" s="1"/>
  <c r="I29" i="56" a="1"/>
  <c r="I29" i="56" s="1"/>
  <c r="I30" i="56" a="1"/>
  <c r="I30" i="56" s="1"/>
  <c r="I27" i="56" a="1"/>
  <c r="I27" i="56"/>
  <c r="H27" i="56" a="1"/>
  <c r="H27" i="56" s="1"/>
  <c r="H28" i="56" a="1"/>
  <c r="H28" i="56" s="1"/>
  <c r="H29" i="56" a="1"/>
  <c r="H29" i="56" s="1"/>
  <c r="H30" i="56" a="1"/>
  <c r="H30" i="56" s="1"/>
  <c r="H26" i="56" a="1"/>
  <c r="H26" i="56" s="1"/>
  <c r="G26" i="56" a="1"/>
  <c r="G26" i="56" s="1"/>
  <c r="G27" i="56" a="1"/>
  <c r="G27" i="56"/>
  <c r="G28" i="56" a="1"/>
  <c r="G28" i="56"/>
  <c r="G29" i="56" a="1"/>
  <c r="G29" i="56" s="1"/>
  <c r="G30" i="56" a="1"/>
  <c r="G30" i="56"/>
  <c r="G25" i="56" a="1"/>
  <c r="G25" i="56" s="1"/>
  <c r="J26" i="56"/>
  <c r="K24" i="56"/>
  <c r="J24" i="56"/>
  <c r="X45" i="56"/>
  <c r="X46" i="56"/>
  <c r="X47" i="56"/>
  <c r="X41" i="56"/>
  <c r="W25" i="56"/>
  <c r="X25" i="56"/>
  <c r="X26" i="56"/>
  <c r="X27" i="56"/>
  <c r="X28" i="56"/>
  <c r="X29" i="56"/>
  <c r="X30" i="56"/>
  <c r="X24" i="56"/>
  <c r="J13" i="56"/>
  <c r="I14" i="56" s="1" a="1"/>
  <c r="I14" i="56" s="1"/>
  <c r="J12" i="56"/>
  <c r="J11" i="56"/>
  <c r="G14" i="56" s="1" a="1"/>
  <c r="G14" i="56" s="1"/>
  <c r="O47" i="56"/>
  <c r="O46" i="56"/>
  <c r="O45" i="56"/>
  <c r="O44" i="56"/>
  <c r="O43" i="56"/>
  <c r="O42" i="56"/>
  <c r="O41" i="56"/>
  <c r="M40" i="56"/>
  <c r="L40" i="56"/>
  <c r="K40" i="56"/>
  <c r="J40" i="56"/>
  <c r="H40" i="56"/>
  <c r="G40" i="56"/>
  <c r="O30" i="56"/>
  <c r="O29" i="56"/>
  <c r="O28" i="56"/>
  <c r="O27" i="56"/>
  <c r="O26" i="56"/>
  <c r="O25" i="56"/>
  <c r="O24" i="56"/>
  <c r="M23" i="56"/>
  <c r="L23" i="56"/>
  <c r="K23" i="56"/>
  <c r="J23" i="56"/>
  <c r="I23" i="56"/>
  <c r="H23" i="56"/>
  <c r="G23" i="56"/>
  <c r="L10" i="56"/>
  <c r="K10" i="56"/>
  <c r="J10" i="56"/>
  <c r="I10" i="56"/>
  <c r="H10" i="56"/>
  <c r="G10" i="56"/>
  <c r="O12" i="56"/>
  <c r="O13" i="56"/>
  <c r="O14" i="56"/>
  <c r="O15" i="56"/>
  <c r="O16" i="56"/>
  <c r="O17" i="56"/>
  <c r="O11" i="56"/>
  <c r="L17" i="56" a="1"/>
  <c r="L17" i="56" s="1"/>
  <c r="G17" i="56" a="1"/>
  <c r="G17" i="56" s="1"/>
  <c r="K17" i="56" a="1"/>
  <c r="K17" i="56" s="1"/>
  <c r="K16" i="56" a="1"/>
  <c r="K16" i="56" s="1"/>
  <c r="H15" i="56" a="1"/>
  <c r="H15" i="56" s="1"/>
  <c r="J17" i="56" a="1"/>
  <c r="J17" i="56" s="1"/>
  <c r="H14" i="56" a="1"/>
  <c r="H14" i="56" s="1"/>
  <c r="I17" i="56" a="1"/>
  <c r="I17" i="56" s="1"/>
  <c r="I16" i="56" a="1"/>
  <c r="I16" i="56" s="1"/>
  <c r="H13" i="56" a="1"/>
  <c r="H13" i="56" s="1"/>
  <c r="G13" i="56" a="1"/>
  <c r="G13" i="56" s="1"/>
  <c r="H17" i="56" a="1"/>
  <c r="H17" i="56" s="1"/>
  <c r="G16" i="56" a="1"/>
  <c r="G16" i="56" s="1"/>
  <c r="G15" i="56" a="1"/>
  <c r="G15" i="56" s="1"/>
  <c r="G12" i="56" a="1"/>
  <c r="G12" i="56" s="1"/>
  <c r="M10" i="56"/>
  <c r="H60" i="54"/>
  <c r="G60" i="54"/>
  <c r="F60" i="54"/>
  <c r="E60" i="54"/>
  <c r="D60" i="54"/>
  <c r="C60" i="54"/>
  <c r="B60" i="54"/>
  <c r="A94" i="54"/>
  <c r="A92" i="54"/>
  <c r="A93" i="54"/>
  <c r="A63" i="54"/>
  <c r="A64" i="54"/>
  <c r="A65" i="54"/>
  <c r="A66" i="54"/>
  <c r="A67" i="54"/>
  <c r="A68" i="54"/>
  <c r="A69" i="54"/>
  <c r="A70" i="54"/>
  <c r="A71" i="54"/>
  <c r="A72" i="54"/>
  <c r="A73" i="54"/>
  <c r="A74" i="54"/>
  <c r="A75" i="54"/>
  <c r="A76" i="54"/>
  <c r="A77" i="54"/>
  <c r="A78" i="54"/>
  <c r="A79" i="54"/>
  <c r="A80" i="54"/>
  <c r="A81" i="54"/>
  <c r="A82" i="54"/>
  <c r="A83" i="54"/>
  <c r="A84" i="54"/>
  <c r="A85" i="54"/>
  <c r="A86" i="54"/>
  <c r="A87" i="54"/>
  <c r="A88" i="54"/>
  <c r="A89" i="54"/>
  <c r="A90" i="54"/>
  <c r="A91" i="54"/>
  <c r="A62" i="54"/>
  <c r="G25" i="54"/>
  <c r="F25" i="54"/>
  <c r="E25" i="54"/>
  <c r="D25" i="54"/>
  <c r="C25" i="54"/>
  <c r="B25" i="54"/>
  <c r="A56" i="54"/>
  <c r="A57" i="54"/>
  <c r="A53" i="54"/>
  <c r="A54" i="54"/>
  <c r="A55" i="54"/>
  <c r="A28" i="54"/>
  <c r="A29" i="54"/>
  <c r="A30" i="54"/>
  <c r="A31" i="54"/>
  <c r="A32" i="54"/>
  <c r="A33" i="54"/>
  <c r="A34" i="54"/>
  <c r="A35" i="54"/>
  <c r="A36" i="54"/>
  <c r="A37" i="54"/>
  <c r="A38" i="54"/>
  <c r="A39" i="54"/>
  <c r="A40" i="54"/>
  <c r="A41" i="54"/>
  <c r="A42" i="54"/>
  <c r="A43" i="54"/>
  <c r="A44" i="54"/>
  <c r="A45" i="54"/>
  <c r="A46" i="54"/>
  <c r="A47" i="54"/>
  <c r="A48" i="54"/>
  <c r="A49" i="54"/>
  <c r="A50" i="54"/>
  <c r="A51" i="54"/>
  <c r="A52" i="54"/>
  <c r="A27" i="54"/>
  <c r="G1" i="54"/>
  <c r="A21" i="54"/>
  <c r="A22" i="54"/>
  <c r="A4" i="54"/>
  <c r="A5" i="54"/>
  <c r="A6" i="54"/>
  <c r="A7" i="54"/>
  <c r="A8" i="54"/>
  <c r="A9" i="54"/>
  <c r="A10" i="54"/>
  <c r="A11" i="54"/>
  <c r="A12" i="54"/>
  <c r="A13" i="54"/>
  <c r="A14" i="54"/>
  <c r="A15" i="54"/>
  <c r="A16" i="54"/>
  <c r="A17" i="54"/>
  <c r="A18" i="54"/>
  <c r="A19" i="54"/>
  <c r="A20" i="54"/>
  <c r="A3" i="54"/>
  <c r="F1" i="54"/>
  <c r="E1" i="54"/>
  <c r="D1" i="54"/>
  <c r="C1" i="54"/>
  <c r="B1" i="54"/>
  <c r="J26" i="52" a="1"/>
  <c r="J26" i="52" s="1"/>
  <c r="X32" i="52"/>
  <c r="X33" i="52"/>
  <c r="X34" i="52"/>
  <c r="X35" i="52"/>
  <c r="X36" i="52"/>
  <c r="X37" i="52"/>
  <c r="X38" i="52"/>
  <c r="K38" i="52" a="1"/>
  <c r="K38" i="52" s="1"/>
  <c r="J37" i="52" a="1"/>
  <c r="J37" i="52" s="1"/>
  <c r="J38" i="52" a="1"/>
  <c r="J38" i="52"/>
  <c r="I36" i="52" a="1"/>
  <c r="I36" i="52" s="1"/>
  <c r="I37" i="52" a="1"/>
  <c r="I37" i="52" s="1"/>
  <c r="I38" i="52" a="1"/>
  <c r="I38" i="52" s="1"/>
  <c r="H35" i="52" a="1"/>
  <c r="H35" i="52" s="1"/>
  <c r="H36" i="52" a="1"/>
  <c r="H36" i="52" s="1"/>
  <c r="H37" i="52" a="1"/>
  <c r="H37" i="52" s="1"/>
  <c r="H38" i="52" a="1"/>
  <c r="H38" i="52" s="1"/>
  <c r="G34" i="52" a="1"/>
  <c r="G34" i="52" s="1"/>
  <c r="G35" i="52" a="1"/>
  <c r="G35" i="52" s="1"/>
  <c r="G36" i="52" a="1"/>
  <c r="G36" i="52" s="1"/>
  <c r="G37" i="52" a="1"/>
  <c r="G37" i="52" s="1"/>
  <c r="G38" i="52" a="1"/>
  <c r="G38" i="52" s="1"/>
  <c r="L38" i="52" a="1"/>
  <c r="L38" i="52" s="1"/>
  <c r="W36" i="52" s="1"/>
  <c r="K37" i="52" a="1"/>
  <c r="K37" i="52" s="1"/>
  <c r="J36" i="52" a="1"/>
  <c r="J36" i="52" s="1"/>
  <c r="I35" i="52" a="1"/>
  <c r="I35" i="52" s="1"/>
  <c r="H34" i="52" a="1"/>
  <c r="H34" i="52"/>
  <c r="G33" i="52" a="1"/>
  <c r="G33" i="52" s="1"/>
  <c r="O38" i="52"/>
  <c r="O37" i="52"/>
  <c r="O36" i="52"/>
  <c r="O35" i="52"/>
  <c r="O34" i="52"/>
  <c r="O33" i="52"/>
  <c r="O32" i="52"/>
  <c r="M31" i="52"/>
  <c r="L31" i="52"/>
  <c r="K31" i="52"/>
  <c r="J31" i="52"/>
  <c r="I31" i="52"/>
  <c r="H31" i="52"/>
  <c r="G31" i="52"/>
  <c r="J27" i="52" a="1"/>
  <c r="J27" i="52" s="1"/>
  <c r="I26" i="52" a="1"/>
  <c r="I26" i="52"/>
  <c r="I27" i="52" a="1"/>
  <c r="I27" i="52"/>
  <c r="H25" i="52" a="1"/>
  <c r="H25" i="52"/>
  <c r="H26" i="52" a="1"/>
  <c r="H26" i="52" s="1"/>
  <c r="H27" i="52" a="1"/>
  <c r="H27" i="52" s="1"/>
  <c r="G24" i="52" a="1"/>
  <c r="G24" i="52" s="1"/>
  <c r="G25" i="52" a="1"/>
  <c r="G25" i="52" s="1"/>
  <c r="W23" i="52"/>
  <c r="I25" i="52" a="1"/>
  <c r="I25" i="52" s="1"/>
  <c r="T23" i="52" s="1"/>
  <c r="H24" i="52" a="1"/>
  <c r="H24" i="52" s="1"/>
  <c r="O27" i="52"/>
  <c r="O26" i="52"/>
  <c r="W24" i="52"/>
  <c r="O25" i="52"/>
  <c r="O24" i="52"/>
  <c r="O23" i="52"/>
  <c r="O22" i="52"/>
  <c r="G27" i="52" a="1"/>
  <c r="G27" i="52" s="1"/>
  <c r="G26" i="52" a="1"/>
  <c r="G26" i="52" s="1"/>
  <c r="L21" i="52"/>
  <c r="K21" i="52"/>
  <c r="J21" i="52"/>
  <c r="I21" i="52"/>
  <c r="H21" i="52"/>
  <c r="G21" i="52"/>
  <c r="O16" i="52"/>
  <c r="O15" i="52"/>
  <c r="H15" i="52" a="1"/>
  <c r="H15" i="52" s="1"/>
  <c r="O14" i="52"/>
  <c r="J16" i="52" a="1"/>
  <c r="J16" i="52" s="1"/>
  <c r="J15" i="52" a="1"/>
  <c r="J15" i="52" s="1"/>
  <c r="H14" i="52" a="1"/>
  <c r="H14" i="52" s="1"/>
  <c r="O13" i="52"/>
  <c r="I16" i="52" a="1"/>
  <c r="I16" i="52" s="1"/>
  <c r="I15" i="52" a="1"/>
  <c r="I15" i="52" s="1"/>
  <c r="H13" i="52" a="1"/>
  <c r="H13" i="52" s="1"/>
  <c r="G13" i="52" a="1"/>
  <c r="G13" i="52" s="1"/>
  <c r="O12" i="52"/>
  <c r="H16" i="52" a="1"/>
  <c r="H16" i="52" s="1"/>
  <c r="O11" i="52"/>
  <c r="G14" i="52" a="1"/>
  <c r="G14" i="52" s="1"/>
  <c r="L10" i="52"/>
  <c r="K10" i="52"/>
  <c r="J10" i="52"/>
  <c r="I10" i="52"/>
  <c r="H10" i="52"/>
  <c r="G10" i="52"/>
  <c r="K14" i="3"/>
  <c r="K13" i="3"/>
  <c r="K11" i="3"/>
  <c r="S21" i="3"/>
  <c r="Q14" i="3"/>
  <c r="Q13" i="3"/>
  <c r="Q11" i="3"/>
  <c r="O14" i="3"/>
  <c r="O13" i="3"/>
  <c r="O11" i="3"/>
  <c r="T19" i="3"/>
  <c r="R19" i="3"/>
  <c r="P19" i="3"/>
  <c r="A2" i="51"/>
  <c r="A11" i="51"/>
  <c r="A16" i="51"/>
  <c r="A15" i="51"/>
  <c r="A12" i="51"/>
  <c r="A6" i="51"/>
  <c r="A8" i="51"/>
  <c r="A10" i="51"/>
  <c r="A13" i="51"/>
  <c r="A7" i="51"/>
  <c r="A14" i="51"/>
  <c r="A5" i="51"/>
  <c r="A9" i="51"/>
  <c r="A4" i="51"/>
  <c r="A3" i="51"/>
  <c r="A17" i="51"/>
  <c r="X12" i="3"/>
  <c r="X13" i="3"/>
  <c r="X14" i="3"/>
  <c r="X15" i="3"/>
  <c r="X16" i="3"/>
  <c r="X17" i="3"/>
  <c r="X18" i="3"/>
  <c r="X19" i="3"/>
  <c r="X20" i="3"/>
  <c r="X21" i="3"/>
  <c r="X22" i="3"/>
  <c r="X23" i="3"/>
  <c r="X24" i="3"/>
  <c r="X25" i="3"/>
  <c r="X26" i="3"/>
  <c r="X11" i="3"/>
  <c r="V24" i="3"/>
  <c r="U24" i="3"/>
  <c r="V23" i="3"/>
  <c r="U23" i="3"/>
  <c r="S25" i="3" s="1" a="1"/>
  <c r="S25" i="3" s="1"/>
  <c r="T23" i="3"/>
  <c r="V22" i="3"/>
  <c r="R26" i="3" s="1" a="1"/>
  <c r="R26" i="3" s="1"/>
  <c r="U22" i="3"/>
  <c r="T22" i="3"/>
  <c r="R24" i="3" s="1" a="1"/>
  <c r="R24" i="3" s="1"/>
  <c r="V21" i="3"/>
  <c r="Q26" i="3" s="1" a="1"/>
  <c r="Q26" i="3" s="1"/>
  <c r="U21" i="3"/>
  <c r="T21" i="3"/>
  <c r="Q24" i="3" s="1" a="1"/>
  <c r="Q24" i="3" s="1"/>
  <c r="R21" i="3"/>
  <c r="Q22" i="3" s="1" a="1"/>
  <c r="Q22" i="3" s="1"/>
  <c r="V20" i="3"/>
  <c r="P26" i="3" s="1" a="1"/>
  <c r="P26" i="3" s="1"/>
  <c r="U20" i="3"/>
  <c r="P25" i="3" s="1" a="1"/>
  <c r="P25" i="3" s="1"/>
  <c r="T20" i="3"/>
  <c r="P24" i="3" s="1" a="1"/>
  <c r="P24" i="3" s="1"/>
  <c r="R20" i="3"/>
  <c r="P22" i="3" s="1" a="1"/>
  <c r="P22" i="3" s="1"/>
  <c r="V19" i="3"/>
  <c r="O26" i="3" s="1" a="1"/>
  <c r="O26" i="3" s="1"/>
  <c r="U19" i="3"/>
  <c r="O24" i="3" a="1"/>
  <c r="O24" i="3" s="1"/>
  <c r="O23" i="3" a="1"/>
  <c r="O23" i="3" s="1"/>
  <c r="O22" i="3" a="1"/>
  <c r="O22" i="3" s="1"/>
  <c r="O21" i="3" a="1"/>
  <c r="O21" i="3" s="1"/>
  <c r="V18" i="3"/>
  <c r="U18" i="3"/>
  <c r="T18" i="3"/>
  <c r="R18" i="3"/>
  <c r="P18" i="3"/>
  <c r="N20" i="3" s="1" a="1"/>
  <c r="N20" i="3" s="1"/>
  <c r="V17" i="3"/>
  <c r="U17" i="3"/>
  <c r="T17" i="3"/>
  <c r="R17" i="3"/>
  <c r="M22" i="3" s="1" a="1"/>
  <c r="M22" i="3" s="1"/>
  <c r="P17" i="3"/>
  <c r="M20" i="3" s="1" a="1"/>
  <c r="M20" i="3" s="1"/>
  <c r="N17" i="3"/>
  <c r="V16" i="3"/>
  <c r="AP16" i="3" s="1"/>
  <c r="U16" i="3"/>
  <c r="T16" i="3"/>
  <c r="L24" i="3" s="1" a="1"/>
  <c r="L24" i="3" s="1"/>
  <c r="R16" i="3"/>
  <c r="L22" i="3" s="1" a="1"/>
  <c r="L22" i="3" s="1"/>
  <c r="V15" i="3"/>
  <c r="K26" i="3" s="1" a="1"/>
  <c r="K26" i="3" s="1"/>
  <c r="U15" i="3"/>
  <c r="T15" i="3"/>
  <c r="K24" i="3" s="1" a="1"/>
  <c r="K24" i="3" s="1"/>
  <c r="S15" i="3"/>
  <c r="R15" i="3"/>
  <c r="K22" i="3" s="1" a="1"/>
  <c r="K22" i="3" s="1"/>
  <c r="K21" i="3" a="1"/>
  <c r="K21" i="3" s="1"/>
  <c r="P15" i="3"/>
  <c r="K20" i="3" s="1" a="1"/>
  <c r="K20" i="3" s="1"/>
  <c r="N15" i="3"/>
  <c r="M15" i="3"/>
  <c r="L15" i="3"/>
  <c r="V14" i="3"/>
  <c r="U14" i="3"/>
  <c r="J25" i="3" s="1" a="1"/>
  <c r="J25" i="3" s="1"/>
  <c r="T14" i="3"/>
  <c r="S14" i="3"/>
  <c r="J23" i="3" s="1" a="1"/>
  <c r="J23" i="3" s="1"/>
  <c r="R14" i="3"/>
  <c r="P14" i="3"/>
  <c r="J20" i="3" s="1" a="1"/>
  <c r="J20" i="3" s="1"/>
  <c r="N14" i="3"/>
  <c r="M14" i="3"/>
  <c r="J17" i="3" s="1" a="1"/>
  <c r="J17" i="3" s="1"/>
  <c r="L14" i="3"/>
  <c r="J16" i="3" s="1" a="1"/>
  <c r="J16" i="3" s="1"/>
  <c r="V13" i="3"/>
  <c r="U13" i="3"/>
  <c r="I25" i="3" s="1" a="1"/>
  <c r="I25" i="3" s="1"/>
  <c r="T13" i="3"/>
  <c r="I24" i="3" s="1" a="1"/>
  <c r="I24" i="3" s="1"/>
  <c r="S13" i="3"/>
  <c r="I23" i="3" s="1" a="1"/>
  <c r="I23" i="3" s="1"/>
  <c r="R13" i="3"/>
  <c r="I22" i="3" s="1" a="1"/>
  <c r="I22" i="3" s="1"/>
  <c r="I21" i="3" a="1"/>
  <c r="I21" i="3" s="1"/>
  <c r="P13" i="3"/>
  <c r="I20" i="3" s="1" a="1"/>
  <c r="I20" i="3" s="1"/>
  <c r="N13" i="3"/>
  <c r="M13" i="3"/>
  <c r="I17" i="3" s="1" a="1"/>
  <c r="I17" i="3" s="1"/>
  <c r="L13" i="3"/>
  <c r="I16" i="3" s="1" a="1"/>
  <c r="I16" i="3" s="1"/>
  <c r="J13" i="3"/>
  <c r="I14" i="3" s="1" a="1"/>
  <c r="I14" i="3" s="1"/>
  <c r="V12" i="3"/>
  <c r="U12" i="3"/>
  <c r="T12" i="3"/>
  <c r="S12" i="3"/>
  <c r="H23" i="3" s="1" a="1"/>
  <c r="H23" i="3" s="1"/>
  <c r="R12" i="3"/>
  <c r="P12" i="3"/>
  <c r="M12" i="3"/>
  <c r="H17" i="3" s="1" a="1"/>
  <c r="H17" i="3" s="1"/>
  <c r="L12" i="3"/>
  <c r="V11" i="3"/>
  <c r="U11" i="3"/>
  <c r="G25" i="3" s="1" a="1"/>
  <c r="G25" i="3" s="1"/>
  <c r="T11" i="3"/>
  <c r="S11" i="3"/>
  <c r="G23" i="3" s="1" a="1"/>
  <c r="G23" i="3" s="1"/>
  <c r="R11" i="3"/>
  <c r="P11" i="3"/>
  <c r="G20" i="3" s="1" a="1"/>
  <c r="G20" i="3" s="1"/>
  <c r="N11" i="3"/>
  <c r="M11" i="3"/>
  <c r="G17" i="3" s="1" a="1"/>
  <c r="G17" i="3" s="1"/>
  <c r="L11" i="3"/>
  <c r="G16" i="3" s="1" a="1"/>
  <c r="G16" i="3" s="1"/>
  <c r="G15" i="3" a="1"/>
  <c r="G15" i="3" s="1"/>
  <c r="J11" i="3"/>
  <c r="G14" i="3" s="1" a="1"/>
  <c r="G14" i="3" s="1"/>
  <c r="H11" i="3"/>
  <c r="G12" i="3" s="1" a="1"/>
  <c r="G12" i="3" s="1"/>
  <c r="V25" i="3"/>
  <c r="U26" i="3" s="1" a="1"/>
  <c r="U26" i="3" s="1"/>
  <c r="S24" i="3" a="1"/>
  <c r="S24" i="3" s="1"/>
  <c r="AG36" i="2"/>
  <c r="U11" i="2"/>
  <c r="R13" i="2"/>
  <c r="AA11" i="2"/>
  <c r="T12" i="2"/>
  <c r="T13" i="2"/>
  <c r="V12" i="2"/>
  <c r="U12" i="2"/>
  <c r="S12" i="2"/>
  <c r="Y27" i="2"/>
  <c r="X12" i="2"/>
  <c r="W12" i="2"/>
  <c r="R12" i="2"/>
  <c r="H4" i="4"/>
  <c r="H5" i="4"/>
  <c r="H8" i="4"/>
  <c r="H6" i="4"/>
  <c r="H9" i="4"/>
  <c r="H7" i="4"/>
  <c r="H10" i="4"/>
  <c r="H11" i="4"/>
  <c r="H12" i="4"/>
  <c r="H13" i="4"/>
  <c r="H14" i="4"/>
  <c r="H16" i="4"/>
  <c r="H17" i="4"/>
  <c r="H18" i="4"/>
  <c r="H21" i="4"/>
  <c r="H20" i="4"/>
  <c r="H26" i="4"/>
  <c r="H19" i="4"/>
  <c r="H22" i="4"/>
  <c r="H24" i="4"/>
  <c r="H23" i="4"/>
  <c r="H28" i="4"/>
  <c r="H25" i="4"/>
  <c r="H29" i="4"/>
  <c r="H27" i="4"/>
  <c r="H30" i="4"/>
  <c r="H31" i="4"/>
  <c r="H32" i="4"/>
  <c r="H15" i="4"/>
  <c r="H33" i="4"/>
  <c r="H34" i="4"/>
  <c r="T17" i="2"/>
  <c r="R11" i="2"/>
  <c r="S11" i="2"/>
  <c r="AH37" i="2"/>
  <c r="T19" i="2"/>
  <c r="S19" i="2"/>
  <c r="S13" i="2"/>
  <c r="S22" i="2"/>
  <c r="AM16" i="2"/>
  <c r="AM26" i="2"/>
  <c r="AM40" i="2"/>
  <c r="AM41" i="2"/>
  <c r="AM19" i="2"/>
  <c r="AM30" i="2"/>
  <c r="AM24" i="2"/>
  <c r="AM23" i="2"/>
  <c r="AM14" i="2"/>
  <c r="AM13" i="2"/>
  <c r="AM33" i="2"/>
  <c r="AM36" i="2"/>
  <c r="AM18" i="2"/>
  <c r="AM20" i="2"/>
  <c r="AM25" i="2"/>
  <c r="AM12" i="2"/>
  <c r="AM17" i="2"/>
  <c r="AM31" i="2"/>
  <c r="AM39" i="2"/>
  <c r="AM29" i="2"/>
  <c r="AM35" i="2"/>
  <c r="AM34" i="2"/>
  <c r="AM11" i="2"/>
  <c r="AM22" i="2"/>
  <c r="AM37" i="2"/>
  <c r="AM38" i="2"/>
  <c r="AM21" i="2"/>
  <c r="AM28" i="2"/>
  <c r="AM32" i="2"/>
  <c r="AM27" i="2"/>
  <c r="AM15" i="2"/>
  <c r="E2" i="34"/>
  <c r="B2" i="34"/>
  <c r="AK39" i="2"/>
  <c r="AI41" i="2" s="1" a="1"/>
  <c r="AI41" i="2" s="1"/>
  <c r="AJ39" i="2"/>
  <c r="BS39" i="2" s="1"/>
  <c r="F2" i="33"/>
  <c r="E2" i="33"/>
  <c r="B3" i="33"/>
  <c r="B2" i="33"/>
  <c r="AK38" i="2"/>
  <c r="AJ38" i="2"/>
  <c r="AI38" i="2"/>
  <c r="G2" i="32"/>
  <c r="F2" i="32"/>
  <c r="E2" i="32"/>
  <c r="B4" i="32"/>
  <c r="B3" i="32"/>
  <c r="B2" i="32"/>
  <c r="AK37" i="2"/>
  <c r="AJ37" i="2"/>
  <c r="AG40" i="2" s="1" a="1"/>
  <c r="AG40" i="2" s="1"/>
  <c r="AG38" i="2" a="1"/>
  <c r="AG38" i="2" s="1"/>
  <c r="H2" i="31"/>
  <c r="G2" i="31"/>
  <c r="F2" i="31"/>
  <c r="E2" i="31"/>
  <c r="B5" i="31"/>
  <c r="B4" i="31"/>
  <c r="B3" i="31"/>
  <c r="B2" i="31"/>
  <c r="BT36" i="2"/>
  <c r="AF40" i="2" a="1"/>
  <c r="AF40" i="2" s="1"/>
  <c r="AF39" i="2" a="1"/>
  <c r="AF39" i="2" s="1"/>
  <c r="AF37" i="2" a="1"/>
  <c r="AF37" i="2" s="1"/>
  <c r="I2" i="30"/>
  <c r="H2" i="30"/>
  <c r="G2" i="30"/>
  <c r="F2" i="30"/>
  <c r="E2" i="30"/>
  <c r="B6" i="30"/>
  <c r="B5" i="30"/>
  <c r="B4" i="30"/>
  <c r="B3" i="30"/>
  <c r="B2" i="30"/>
  <c r="AJ35" i="2"/>
  <c r="AE40" i="2" s="1" a="1"/>
  <c r="AE40" i="2" s="1"/>
  <c r="AI35" i="2"/>
  <c r="AG35" i="2"/>
  <c r="AF35" i="2"/>
  <c r="J2" i="29"/>
  <c r="I2" i="29"/>
  <c r="H2" i="29"/>
  <c r="G2" i="29"/>
  <c r="F2" i="29"/>
  <c r="E2" i="29"/>
  <c r="B7" i="29"/>
  <c r="B6" i="29"/>
  <c r="B5" i="29"/>
  <c r="B4" i="29"/>
  <c r="B3" i="29"/>
  <c r="B2" i="29"/>
  <c r="AK34" i="2"/>
  <c r="AJ34" i="2"/>
  <c r="AI34" i="2"/>
  <c r="AH34" i="2"/>
  <c r="AG34" i="2"/>
  <c r="AD37" i="2" s="1" a="1"/>
  <c r="AD37" i="2" s="1"/>
  <c r="AF34" i="2"/>
  <c r="AE34" i="2"/>
  <c r="AD35" i="2" s="1" a="1"/>
  <c r="AD35" i="2" s="1"/>
  <c r="K2" i="28"/>
  <c r="J2" i="28"/>
  <c r="I2" i="28"/>
  <c r="H2" i="28"/>
  <c r="G2" i="28"/>
  <c r="F2" i="28"/>
  <c r="E2" i="28"/>
  <c r="B8" i="28"/>
  <c r="B7" i="28"/>
  <c r="B6" i="28"/>
  <c r="B5" i="28"/>
  <c r="B4" i="28"/>
  <c r="B3" i="28"/>
  <c r="B2" i="28"/>
  <c r="AK33" i="2"/>
  <c r="AJ33" i="2"/>
  <c r="AI33" i="2"/>
  <c r="AC39" i="2" s="1" a="1"/>
  <c r="AC39" i="2" s="1"/>
  <c r="AH33" i="2"/>
  <c r="AG33" i="2"/>
  <c r="AF33" i="2"/>
  <c r="AC36" i="2" s="1" a="1"/>
  <c r="AC36" i="2" s="1"/>
  <c r="AE33" i="2"/>
  <c r="AD33" i="2"/>
  <c r="L2" i="27"/>
  <c r="K2" i="27"/>
  <c r="J2" i="27"/>
  <c r="I2" i="27"/>
  <c r="H2" i="27"/>
  <c r="G2" i="27"/>
  <c r="F2" i="27"/>
  <c r="E2" i="27"/>
  <c r="B9" i="27"/>
  <c r="B8" i="27"/>
  <c r="B7" i="27"/>
  <c r="B6" i="27"/>
  <c r="B5" i="27"/>
  <c r="B4" i="27"/>
  <c r="B3" i="27"/>
  <c r="B2" i="27"/>
  <c r="AK32" i="2"/>
  <c r="BT28" i="2" s="1"/>
  <c r="AJ32" i="2"/>
  <c r="BS28" i="2" s="1"/>
  <c r="AI32" i="2"/>
  <c r="AB39" i="2" s="1" a="1"/>
  <c r="AB39" i="2" s="1"/>
  <c r="AH32" i="2"/>
  <c r="AB38" i="2" s="1" a="1"/>
  <c r="AB38" i="2" s="1"/>
  <c r="AG32" i="2"/>
  <c r="AF32" i="2"/>
  <c r="AE32" i="2"/>
  <c r="AD32" i="2"/>
  <c r="AC32" i="2"/>
  <c r="M2" i="26"/>
  <c r="L2" i="26"/>
  <c r="K2" i="26"/>
  <c r="J2" i="26"/>
  <c r="I2" i="26"/>
  <c r="H2" i="26"/>
  <c r="G2" i="26"/>
  <c r="F2" i="26"/>
  <c r="E2" i="26"/>
  <c r="B10" i="26"/>
  <c r="B9" i="26"/>
  <c r="B8" i="26"/>
  <c r="B7" i="26"/>
  <c r="B6" i="26"/>
  <c r="B5" i="26"/>
  <c r="B4" i="26"/>
  <c r="B3" i="26"/>
  <c r="B2" i="26"/>
  <c r="AJ30" i="2"/>
  <c r="AI30" i="2"/>
  <c r="AH30" i="2"/>
  <c r="AG30" i="2"/>
  <c r="AF30" i="2"/>
  <c r="AE30" i="2"/>
  <c r="Z35" i="2" s="1" a="1"/>
  <c r="Z35" i="2" s="1"/>
  <c r="AB30" i="2"/>
  <c r="Z32" i="2" s="1" a="1"/>
  <c r="Z32" i="2" s="1"/>
  <c r="AA30" i="2"/>
  <c r="Z31" i="2" s="1" a="1"/>
  <c r="Z31" i="2" s="1"/>
  <c r="N2" i="24"/>
  <c r="M2" i="24"/>
  <c r="L2" i="24"/>
  <c r="K2" i="24"/>
  <c r="J2" i="24"/>
  <c r="I2" i="24"/>
  <c r="F2" i="24"/>
  <c r="E2" i="24"/>
  <c r="B11" i="24"/>
  <c r="B10" i="24"/>
  <c r="B9" i="24"/>
  <c r="B8" i="24"/>
  <c r="B7" i="24"/>
  <c r="B6" i="24"/>
  <c r="B3" i="24"/>
  <c r="B2" i="24"/>
  <c r="AK29" i="2"/>
  <c r="Y41" i="2" s="1" a="1"/>
  <c r="Y41" i="2" s="1"/>
  <c r="AJ29" i="2"/>
  <c r="AI29" i="2"/>
  <c r="Y39" i="2" s="1" a="1"/>
  <c r="Y39" i="2" s="1"/>
  <c r="AH29" i="2"/>
  <c r="Y38" i="2" s="1" a="1"/>
  <c r="Y38" i="2" s="1"/>
  <c r="AG29" i="2"/>
  <c r="Y37" i="2" s="1" a="1"/>
  <c r="Y37" i="2" s="1"/>
  <c r="AF29" i="2"/>
  <c r="Y36" i="2" s="1" a="1"/>
  <c r="Y36" i="2" s="1"/>
  <c r="AE29" i="2"/>
  <c r="AD29" i="2"/>
  <c r="Y34" i="2" s="1" a="1"/>
  <c r="Y34" i="2" s="1"/>
  <c r="AC29" i="2"/>
  <c r="AB29" i="2"/>
  <c r="Y32" i="2" s="1" a="1"/>
  <c r="Y32" i="2" s="1"/>
  <c r="AA29" i="2"/>
  <c r="Z29" i="2"/>
  <c r="P2" i="23"/>
  <c r="O2" i="23"/>
  <c r="N2" i="23"/>
  <c r="M2" i="23"/>
  <c r="L2" i="23"/>
  <c r="K2" i="23"/>
  <c r="J2" i="23"/>
  <c r="I2" i="23"/>
  <c r="H2" i="23"/>
  <c r="G2" i="23"/>
  <c r="F2" i="23"/>
  <c r="E2" i="23"/>
  <c r="B13" i="23"/>
  <c r="B12" i="23"/>
  <c r="B11" i="23"/>
  <c r="B10" i="23"/>
  <c r="B9" i="23"/>
  <c r="B8" i="23"/>
  <c r="B7" i="23"/>
  <c r="B6" i="23"/>
  <c r="B5" i="23"/>
  <c r="B4" i="23"/>
  <c r="B3" i="23"/>
  <c r="B2" i="23"/>
  <c r="AK28" i="2"/>
  <c r="X41" i="2" s="1" a="1"/>
  <c r="X41" i="2" s="1"/>
  <c r="AJ28" i="2"/>
  <c r="AI28" i="2"/>
  <c r="X39" i="2" s="1" a="1"/>
  <c r="X39" i="2" s="1"/>
  <c r="AH28" i="2"/>
  <c r="X38" i="2" s="1" a="1"/>
  <c r="X38" i="2" s="1"/>
  <c r="AG28" i="2"/>
  <c r="X37" i="2" s="1" a="1"/>
  <c r="X37" i="2" s="1"/>
  <c r="AF28" i="2"/>
  <c r="X36" i="2" s="1" a="1"/>
  <c r="X36" i="2" s="1"/>
  <c r="AE28" i="2"/>
  <c r="X35" i="2" s="1" a="1"/>
  <c r="X35" i="2" s="1"/>
  <c r="AD28" i="2"/>
  <c r="X34" i="2" s="1" a="1"/>
  <c r="X34" i="2" s="1"/>
  <c r="AC28" i="2"/>
  <c r="AB28" i="2"/>
  <c r="X32" i="2" s="1" a="1"/>
  <c r="X32" i="2" s="1"/>
  <c r="AA28" i="2"/>
  <c r="Z28" i="2"/>
  <c r="X30" i="2" s="1" a="1"/>
  <c r="X30" i="2" s="1"/>
  <c r="Y28" i="2"/>
  <c r="Q2" i="22"/>
  <c r="P2" i="22"/>
  <c r="O2" i="22"/>
  <c r="N2" i="22"/>
  <c r="M2" i="22"/>
  <c r="L2" i="22"/>
  <c r="K2" i="22"/>
  <c r="J2" i="22"/>
  <c r="I2" i="22"/>
  <c r="H2" i="22"/>
  <c r="G2" i="22"/>
  <c r="F2" i="22"/>
  <c r="E2" i="22"/>
  <c r="B14" i="22"/>
  <c r="B13" i="22"/>
  <c r="B12" i="22"/>
  <c r="B11" i="22"/>
  <c r="B10" i="22"/>
  <c r="B9" i="22"/>
  <c r="B8" i="22"/>
  <c r="B7" i="22"/>
  <c r="B6" i="22"/>
  <c r="B5" i="22"/>
  <c r="B4" i="22"/>
  <c r="B3" i="22"/>
  <c r="B2" i="22"/>
  <c r="AK27" i="2"/>
  <c r="AJ27" i="2"/>
  <c r="BS27" i="2" s="1"/>
  <c r="AI27" i="2"/>
  <c r="AH27" i="2"/>
  <c r="AG27" i="2"/>
  <c r="AF27" i="2"/>
  <c r="AE27" i="2"/>
  <c r="AD27" i="2"/>
  <c r="AC27" i="2"/>
  <c r="AB27" i="2"/>
  <c r="W30" i="2" a="1"/>
  <c r="W30" i="2" s="1"/>
  <c r="R2" i="21"/>
  <c r="Q2" i="21"/>
  <c r="P2" i="21"/>
  <c r="O2" i="21"/>
  <c r="N2" i="21"/>
  <c r="M2" i="21"/>
  <c r="L2" i="21"/>
  <c r="K2" i="21"/>
  <c r="J2" i="21"/>
  <c r="I2" i="21"/>
  <c r="H2" i="21"/>
  <c r="G2" i="21"/>
  <c r="F2" i="21"/>
  <c r="E2" i="21"/>
  <c r="B15" i="21"/>
  <c r="B14" i="21"/>
  <c r="B13" i="21"/>
  <c r="B12" i="21"/>
  <c r="B11" i="21"/>
  <c r="B10" i="21"/>
  <c r="B9" i="21"/>
  <c r="B8" i="21"/>
  <c r="B7" i="21"/>
  <c r="B6" i="21"/>
  <c r="B5" i="21"/>
  <c r="B4" i="21"/>
  <c r="B3" i="21"/>
  <c r="B2" i="21"/>
  <c r="AK26" i="2"/>
  <c r="V41" i="2" s="1" a="1"/>
  <c r="V41" i="2" s="1"/>
  <c r="AJ26" i="2"/>
  <c r="AI26" i="2"/>
  <c r="AH26" i="2"/>
  <c r="V38" i="2" s="1" a="1"/>
  <c r="V38" i="2" s="1"/>
  <c r="V37" i="2" a="1"/>
  <c r="V37" i="2" s="1"/>
  <c r="AF26" i="2"/>
  <c r="V36" i="2" s="1" a="1"/>
  <c r="V36" i="2" s="1"/>
  <c r="AE26" i="2"/>
  <c r="AA26" i="2"/>
  <c r="Z26" i="2"/>
  <c r="V30" i="2" s="1" a="1"/>
  <c r="V30" i="2" s="1"/>
  <c r="Y26" i="2"/>
  <c r="S2" i="20"/>
  <c r="R2" i="20"/>
  <c r="Q2" i="20"/>
  <c r="P2" i="20"/>
  <c r="O2" i="20"/>
  <c r="N2" i="20"/>
  <c r="M2" i="20"/>
  <c r="I2" i="20"/>
  <c r="H2" i="20"/>
  <c r="G2" i="20"/>
  <c r="B16" i="20"/>
  <c r="B15" i="20"/>
  <c r="B14" i="20"/>
  <c r="B13" i="20"/>
  <c r="B12" i="20"/>
  <c r="B11" i="20"/>
  <c r="B10" i="20"/>
  <c r="B6" i="20"/>
  <c r="B5" i="20"/>
  <c r="B4" i="20"/>
  <c r="AG25" i="2"/>
  <c r="AE25" i="2"/>
  <c r="V25" i="2"/>
  <c r="P2" i="19"/>
  <c r="N2" i="19"/>
  <c r="E2" i="19"/>
  <c r="B2" i="19"/>
  <c r="B13" i="19"/>
  <c r="B11" i="19"/>
  <c r="T41" i="2" a="1"/>
  <c r="T41" i="2" s="1"/>
  <c r="BS16" i="2"/>
  <c r="T38" i="2" a="1"/>
  <c r="T38" i="2" s="1"/>
  <c r="T37" i="2" a="1"/>
  <c r="T37" i="2" s="1"/>
  <c r="T36" i="2" a="1"/>
  <c r="T36" i="2" s="1"/>
  <c r="T35" i="2" a="1"/>
  <c r="T35" i="2" s="1"/>
  <c r="U2" i="18"/>
  <c r="T2" i="18"/>
  <c r="S2" i="18"/>
  <c r="R2" i="18"/>
  <c r="Q2" i="18"/>
  <c r="P2" i="18"/>
  <c r="O2" i="18"/>
  <c r="B18" i="18"/>
  <c r="B17" i="18"/>
  <c r="B16" i="18"/>
  <c r="B15" i="18"/>
  <c r="B14" i="18"/>
  <c r="B13" i="18"/>
  <c r="B12" i="18"/>
  <c r="AK22" i="2"/>
  <c r="AJ22" i="2"/>
  <c r="BS20" i="2" s="1"/>
  <c r="AI22" i="2"/>
  <c r="R39" i="2" s="1" a="1"/>
  <c r="R39" i="2" s="1"/>
  <c r="AH22" i="2"/>
  <c r="R37" i="2" a="1"/>
  <c r="R37" i="2" s="1"/>
  <c r="AF22" i="2"/>
  <c r="AE22" i="2"/>
  <c r="R23" i="2" a="1"/>
  <c r="R23" i="2" s="1"/>
  <c r="W2" i="16"/>
  <c r="V2" i="16"/>
  <c r="U2" i="16"/>
  <c r="T2" i="16"/>
  <c r="S2" i="16"/>
  <c r="R2" i="16"/>
  <c r="Q2" i="16"/>
  <c r="E2" i="16"/>
  <c r="B20" i="16"/>
  <c r="B19" i="16"/>
  <c r="B18" i="16"/>
  <c r="B17" i="16"/>
  <c r="B16" i="16"/>
  <c r="B15" i="16"/>
  <c r="B14" i="16"/>
  <c r="B2" i="16"/>
  <c r="N25" i="2" a="1"/>
  <c r="N25" i="2" s="1"/>
  <c r="K3" i="12"/>
  <c r="I3" i="12"/>
  <c r="H3" i="12"/>
  <c r="B8" i="12"/>
  <c r="B6" i="12"/>
  <c r="B5" i="12"/>
  <c r="AF17" i="2"/>
  <c r="M36" i="2" s="1" a="1"/>
  <c r="M36" i="2" s="1"/>
  <c r="AE17" i="2"/>
  <c r="M35" i="2" s="1" a="1"/>
  <c r="M35" i="2" s="1"/>
  <c r="Q17" i="2"/>
  <c r="P17" i="2"/>
  <c r="M20" i="2" s="1" a="1"/>
  <c r="M20" i="2" s="1"/>
  <c r="O17" i="2"/>
  <c r="M19" i="2" s="1" a="1"/>
  <c r="M19" i="2" s="1"/>
  <c r="N17" i="2"/>
  <c r="W2" i="11"/>
  <c r="V2" i="11"/>
  <c r="H2" i="11"/>
  <c r="G2" i="11"/>
  <c r="F2" i="11"/>
  <c r="E2" i="11"/>
  <c r="B20" i="11"/>
  <c r="B19" i="11"/>
  <c r="B5" i="11"/>
  <c r="B4" i="11"/>
  <c r="B3" i="11"/>
  <c r="B2" i="11"/>
  <c r="AK16" i="2"/>
  <c r="BT14" i="2" s="1"/>
  <c r="L36" i="2" a="1"/>
  <c r="L36" i="2" s="1"/>
  <c r="AE16" i="2"/>
  <c r="L35" i="2" s="1" a="1"/>
  <c r="L35" i="2" s="1"/>
  <c r="Q16" i="2"/>
  <c r="L21" i="2" s="1" a="1"/>
  <c r="L21" i="2" s="1"/>
  <c r="P16" i="2"/>
  <c r="O16" i="2"/>
  <c r="N16" i="2"/>
  <c r="L18" i="2" s="1" a="1"/>
  <c r="L18" i="2" s="1"/>
  <c r="M16" i="2"/>
  <c r="L17" i="2" s="1" a="1"/>
  <c r="L17" i="2" s="1"/>
  <c r="AC3" i="10"/>
  <c r="X3" i="10"/>
  <c r="W3" i="10"/>
  <c r="I3" i="10"/>
  <c r="H3" i="10"/>
  <c r="G3" i="10"/>
  <c r="F3" i="10"/>
  <c r="E3" i="10"/>
  <c r="B26" i="10"/>
  <c r="B21" i="10"/>
  <c r="B20" i="10"/>
  <c r="B6" i="10"/>
  <c r="B5" i="10"/>
  <c r="B4" i="10"/>
  <c r="B3" i="10"/>
  <c r="B2" i="10"/>
  <c r="T15" i="2"/>
  <c r="K23" i="2" a="1"/>
  <c r="K23" i="2" s="1"/>
  <c r="K22" i="2" a="1"/>
  <c r="K22" i="2" s="1"/>
  <c r="N3" i="9"/>
  <c r="M3" i="9"/>
  <c r="L3" i="9"/>
  <c r="K3" i="9"/>
  <c r="B11" i="9"/>
  <c r="B10" i="9"/>
  <c r="B9" i="9"/>
  <c r="B8" i="9"/>
  <c r="J38" i="2" a="1"/>
  <c r="J38" i="2" s="1"/>
  <c r="T14" i="2"/>
  <c r="J24" i="2" s="1" a="1"/>
  <c r="J24" i="2" s="1"/>
  <c r="K16" i="2" a="1"/>
  <c r="K16" i="2" s="1"/>
  <c r="K17" i="2" a="1"/>
  <c r="K17" i="2" s="1"/>
  <c r="K18" i="2" a="1"/>
  <c r="K18" i="2" s="1"/>
  <c r="M18" i="2" a="1"/>
  <c r="M18" i="2" s="1"/>
  <c r="K19" i="2" a="1"/>
  <c r="K19" i="2" s="1"/>
  <c r="L19" i="2" a="1"/>
  <c r="L19" i="2"/>
  <c r="N19" i="2" a="1"/>
  <c r="N19" i="2" s="1"/>
  <c r="K20" i="2" a="1"/>
  <c r="K20" i="2"/>
  <c r="L20" i="2" a="1"/>
  <c r="L20" i="2" s="1"/>
  <c r="N20" i="2" a="1"/>
  <c r="N20" i="2"/>
  <c r="O20" i="2" a="1"/>
  <c r="O20" i="2" s="1"/>
  <c r="K21" i="2" a="1"/>
  <c r="K21" i="2"/>
  <c r="M21" i="2" a="1"/>
  <c r="M21" i="2"/>
  <c r="N21" i="2" a="1"/>
  <c r="N21" i="2"/>
  <c r="O21" i="2" a="1"/>
  <c r="O21" i="2" s="1"/>
  <c r="P21" i="2" a="1"/>
  <c r="P21" i="2"/>
  <c r="L22" i="2" a="1"/>
  <c r="L22" i="2" s="1"/>
  <c r="M22" i="2" a="1"/>
  <c r="M22" i="2" s="1"/>
  <c r="N22" i="2" a="1"/>
  <c r="N22" i="2" s="1"/>
  <c r="O22" i="2" a="1"/>
  <c r="O22" i="2" s="1"/>
  <c r="P22" i="2" a="1"/>
  <c r="P22" i="2" s="1"/>
  <c r="Q22" i="2" a="1"/>
  <c r="Q22" i="2" s="1"/>
  <c r="L23" i="2" a="1"/>
  <c r="L23" i="2"/>
  <c r="M23" i="2" a="1"/>
  <c r="M23" i="2"/>
  <c r="N23" i="2" a="1"/>
  <c r="N23" i="2" s="1"/>
  <c r="O23" i="2" a="1"/>
  <c r="O23" i="2" s="1"/>
  <c r="P23" i="2" a="1"/>
  <c r="P23" i="2"/>
  <c r="Q23" i="2" a="1"/>
  <c r="Q23" i="2" s="1"/>
  <c r="K24" i="2" a="1"/>
  <c r="K24" i="2"/>
  <c r="L24" i="2" a="1"/>
  <c r="L24" i="2" s="1"/>
  <c r="M24" i="2" a="1"/>
  <c r="M24" i="2" s="1"/>
  <c r="N24" i="2" a="1"/>
  <c r="N24" i="2"/>
  <c r="O24" i="2" a="1"/>
  <c r="O24" i="2" s="1"/>
  <c r="P24" i="2" a="1"/>
  <c r="P24" i="2" s="1"/>
  <c r="Q24" i="2" a="1"/>
  <c r="Q24" i="2" s="1"/>
  <c r="R24" i="2" a="1"/>
  <c r="R24" i="2" s="1"/>
  <c r="S24" i="2" a="1"/>
  <c r="S24" i="2"/>
  <c r="K25" i="2" a="1"/>
  <c r="K25" i="2"/>
  <c r="L25" i="2" a="1"/>
  <c r="L25" i="2" s="1"/>
  <c r="M25" i="2" a="1"/>
  <c r="M25" i="2" s="1"/>
  <c r="O25" i="2" a="1"/>
  <c r="O25" i="2" s="1"/>
  <c r="P25" i="2" a="1"/>
  <c r="P25" i="2"/>
  <c r="Q25" i="2" a="1"/>
  <c r="Q25" i="2" s="1"/>
  <c r="R25" i="2" a="1"/>
  <c r="R25" i="2" s="1"/>
  <c r="S25" i="2" a="1"/>
  <c r="S25" i="2"/>
  <c r="T25" i="2" a="1"/>
  <c r="T25" i="2" s="1"/>
  <c r="K26" i="2" a="1"/>
  <c r="K26" i="2" s="1"/>
  <c r="L26" i="2" a="1"/>
  <c r="L26" i="2" s="1"/>
  <c r="M26" i="2" a="1"/>
  <c r="M26" i="2"/>
  <c r="N26" i="2" a="1"/>
  <c r="N26" i="2" s="1"/>
  <c r="O26" i="2" a="1"/>
  <c r="O26" i="2" s="1"/>
  <c r="P26" i="2" a="1"/>
  <c r="P26" i="2"/>
  <c r="Q26" i="2" a="1"/>
  <c r="Q26" i="2" s="1"/>
  <c r="R26" i="2" a="1"/>
  <c r="R26" i="2" s="1"/>
  <c r="S26" i="2" a="1"/>
  <c r="S26" i="2" s="1"/>
  <c r="T26" i="2" a="1"/>
  <c r="T26" i="2" s="1"/>
  <c r="K27" i="2" a="1"/>
  <c r="K27" i="2" s="1"/>
  <c r="L27" i="2" a="1"/>
  <c r="L27" i="2"/>
  <c r="M27" i="2" a="1"/>
  <c r="M27" i="2"/>
  <c r="N27" i="2" a="1"/>
  <c r="N27" i="2" s="1"/>
  <c r="O27" i="2" a="1"/>
  <c r="O27" i="2"/>
  <c r="P27" i="2" a="1"/>
  <c r="P27" i="2"/>
  <c r="Q27" i="2" a="1"/>
  <c r="Q27" i="2"/>
  <c r="R27" i="2" a="1"/>
  <c r="R27" i="2" s="1"/>
  <c r="S27" i="2" a="1"/>
  <c r="S27" i="2"/>
  <c r="T27" i="2" a="1"/>
  <c r="T27" i="2"/>
  <c r="U27" i="2" a="1"/>
  <c r="U27" i="2" s="1"/>
  <c r="V27" i="2" a="1"/>
  <c r="V27" i="2" s="1"/>
  <c r="K28" i="2" a="1"/>
  <c r="K28" i="2" s="1"/>
  <c r="L28" i="2" a="1"/>
  <c r="L28" i="2"/>
  <c r="M28" i="2" a="1"/>
  <c r="M28" i="2" s="1"/>
  <c r="N28" i="2" a="1"/>
  <c r="N28" i="2" s="1"/>
  <c r="O28" i="2" a="1"/>
  <c r="O28" i="2"/>
  <c r="P28" i="2" a="1"/>
  <c r="P28" i="2"/>
  <c r="Q28" i="2" a="1"/>
  <c r="Q28" i="2"/>
  <c r="R28" i="2" a="1"/>
  <c r="R28" i="2"/>
  <c r="S28" i="2" a="1"/>
  <c r="S28" i="2" s="1"/>
  <c r="T28" i="2" a="1"/>
  <c r="T28" i="2"/>
  <c r="U28" i="2" a="1"/>
  <c r="U28" i="2" s="1"/>
  <c r="V28" i="2" a="1"/>
  <c r="V28" i="2" s="1"/>
  <c r="W28" i="2" a="1"/>
  <c r="W28" i="2" s="1"/>
  <c r="K29" i="2" a="1"/>
  <c r="K29" i="2" s="1"/>
  <c r="L29" i="2" a="1"/>
  <c r="L29" i="2"/>
  <c r="M29" i="2" a="1"/>
  <c r="M29" i="2" s="1"/>
  <c r="N29" i="2" a="1"/>
  <c r="N29" i="2" s="1"/>
  <c r="O29" i="2" a="1"/>
  <c r="O29" i="2" s="1"/>
  <c r="P29" i="2" a="1"/>
  <c r="P29" i="2"/>
  <c r="Q29" i="2" a="1"/>
  <c r="Q29" i="2"/>
  <c r="R29" i="2" a="1"/>
  <c r="R29" i="2" s="1"/>
  <c r="S29" i="2" a="1"/>
  <c r="S29" i="2" s="1"/>
  <c r="T29" i="2" a="1"/>
  <c r="T29" i="2" s="1"/>
  <c r="U29" i="2" a="1"/>
  <c r="U29" i="2" s="1"/>
  <c r="V29" i="2" a="1"/>
  <c r="V29" i="2" s="1"/>
  <c r="W29" i="2" a="1"/>
  <c r="W29" i="2" s="1"/>
  <c r="K30" i="2" a="1"/>
  <c r="K30" i="2"/>
  <c r="L30" i="2" a="1"/>
  <c r="L30" i="2" s="1"/>
  <c r="M30" i="2" a="1"/>
  <c r="M30" i="2" s="1"/>
  <c r="N30" i="2" a="1"/>
  <c r="N30" i="2" s="1"/>
  <c r="O30" i="2" a="1"/>
  <c r="O30" i="2" s="1"/>
  <c r="P30" i="2" a="1"/>
  <c r="P30" i="2" s="1"/>
  <c r="Q30" i="2" a="1"/>
  <c r="Q30" i="2" s="1"/>
  <c r="R30" i="2" a="1"/>
  <c r="R30" i="2" s="1"/>
  <c r="S30" i="2" a="1"/>
  <c r="S30" i="2" s="1"/>
  <c r="T30" i="2" a="1"/>
  <c r="T30" i="2" s="1"/>
  <c r="U30" i="2" a="1"/>
  <c r="U30" i="2" s="1"/>
  <c r="Y30" i="2" a="1"/>
  <c r="Y30" i="2"/>
  <c r="K31" i="2" a="1"/>
  <c r="K31" i="2" s="1"/>
  <c r="L31" i="2" a="1"/>
  <c r="L31" i="2" s="1"/>
  <c r="M31" i="2" a="1"/>
  <c r="M31" i="2"/>
  <c r="N31" i="2" a="1"/>
  <c r="N31" i="2" s="1"/>
  <c r="O31" i="2" a="1"/>
  <c r="O31" i="2" s="1"/>
  <c r="P31" i="2" a="1"/>
  <c r="P31" i="2"/>
  <c r="Q31" i="2" a="1"/>
  <c r="Q31" i="2" s="1"/>
  <c r="R31" i="2" a="1"/>
  <c r="R31" i="2"/>
  <c r="S31" i="2" a="1"/>
  <c r="S31" i="2"/>
  <c r="T31" i="2" a="1"/>
  <c r="T31" i="2" s="1"/>
  <c r="U31" i="2" a="1"/>
  <c r="U31" i="2" s="1"/>
  <c r="V31" i="2" a="1"/>
  <c r="V31" i="2" s="1"/>
  <c r="W31" i="2" a="1"/>
  <c r="W31" i="2"/>
  <c r="Y31" i="2" a="1"/>
  <c r="Y31" i="2" s="1"/>
  <c r="K32" i="2" a="1"/>
  <c r="K32" i="2" s="1"/>
  <c r="L32" i="2" a="1"/>
  <c r="L32" i="2"/>
  <c r="M32" i="2" a="1"/>
  <c r="M32" i="2"/>
  <c r="N32" i="2" a="1"/>
  <c r="N32" i="2" s="1"/>
  <c r="O32" i="2" a="1"/>
  <c r="O32" i="2" s="1"/>
  <c r="P32" i="2" a="1"/>
  <c r="P32" i="2" s="1"/>
  <c r="Q32" i="2" a="1"/>
  <c r="Q32" i="2"/>
  <c r="R32" i="2" a="1"/>
  <c r="R32" i="2" s="1"/>
  <c r="S32" i="2" a="1"/>
  <c r="S32" i="2"/>
  <c r="T32" i="2" a="1"/>
  <c r="T32" i="2" s="1"/>
  <c r="U32" i="2" a="1"/>
  <c r="U32" i="2"/>
  <c r="V32" i="2" a="1"/>
  <c r="V32" i="2" s="1"/>
  <c r="W32" i="2" a="1"/>
  <c r="W32" i="2"/>
  <c r="AA32" i="2" a="1"/>
  <c r="AA32" i="2" s="1"/>
  <c r="K33" i="2" a="1"/>
  <c r="K33" i="2" s="1"/>
  <c r="L33" i="2" a="1"/>
  <c r="L33" i="2" s="1"/>
  <c r="M33" i="2" a="1"/>
  <c r="M33" i="2"/>
  <c r="N33" i="2" a="1"/>
  <c r="N33" i="2" s="1"/>
  <c r="O33" i="2" a="1"/>
  <c r="O33" i="2"/>
  <c r="P33" i="2" a="1"/>
  <c r="P33" i="2"/>
  <c r="Q33" i="2" a="1"/>
  <c r="Q33" i="2" s="1"/>
  <c r="R33" i="2" a="1"/>
  <c r="R33" i="2"/>
  <c r="S33" i="2" a="1"/>
  <c r="S33" i="2"/>
  <c r="T33" i="2" a="1"/>
  <c r="T33" i="2" s="1"/>
  <c r="U33" i="2" a="1"/>
  <c r="U33" i="2" s="1"/>
  <c r="V33" i="2" a="1"/>
  <c r="V33" i="2"/>
  <c r="X33" i="2" a="1"/>
  <c r="X33" i="2" s="1"/>
  <c r="Z33" i="2" a="1"/>
  <c r="Z33" i="2"/>
  <c r="AA33" i="2" a="1"/>
  <c r="AA33" i="2"/>
  <c r="AB33" i="2" a="1"/>
  <c r="AB33" i="2" s="1"/>
  <c r="K34" i="2" a="1"/>
  <c r="K34" i="2" s="1"/>
  <c r="L34" i="2" a="1"/>
  <c r="L34" i="2"/>
  <c r="M34" i="2" a="1"/>
  <c r="M34" i="2" s="1"/>
  <c r="N34" i="2" a="1"/>
  <c r="N34" i="2"/>
  <c r="O34" i="2" a="1"/>
  <c r="O34" i="2" s="1"/>
  <c r="P34" i="2" a="1"/>
  <c r="P34" i="2" s="1"/>
  <c r="Q34" i="2" a="1"/>
  <c r="Q34" i="2"/>
  <c r="R34" i="2" a="1"/>
  <c r="R34" i="2" s="1"/>
  <c r="S34" i="2" a="1"/>
  <c r="S34" i="2" s="1"/>
  <c r="T34" i="2" a="1"/>
  <c r="T34" i="2" s="1"/>
  <c r="U34" i="2" a="1"/>
  <c r="U34" i="2" s="1"/>
  <c r="V34" i="2" a="1"/>
  <c r="V34" i="2"/>
  <c r="W34" i="2" a="1"/>
  <c r="W34" i="2" s="1"/>
  <c r="Z34" i="2" a="1"/>
  <c r="Z34" i="2"/>
  <c r="AA34" i="2" a="1"/>
  <c r="AA34" i="2"/>
  <c r="AC34" i="2" a="1"/>
  <c r="AC34" i="2" s="1"/>
  <c r="K35" i="2" a="1"/>
  <c r="K35" i="2" s="1"/>
  <c r="N35" i="2" a="1"/>
  <c r="N35" i="2" s="1"/>
  <c r="O35" i="2" a="1"/>
  <c r="O35" i="2" s="1"/>
  <c r="P35" i="2" a="1"/>
  <c r="P35" i="2" s="1"/>
  <c r="Q35" i="2" a="1"/>
  <c r="Q35" i="2"/>
  <c r="S35" i="2" a="1"/>
  <c r="S35" i="2"/>
  <c r="U35" i="2" a="1"/>
  <c r="U35" i="2" s="1"/>
  <c r="W35" i="2" a="1"/>
  <c r="W35" i="2" s="1"/>
  <c r="Y35" i="2" a="1"/>
  <c r="Y35" i="2"/>
  <c r="AA35" i="2" a="1"/>
  <c r="AA35" i="2"/>
  <c r="AB35" i="2" a="1"/>
  <c r="AB35" i="2"/>
  <c r="AC35" i="2" a="1"/>
  <c r="AC35" i="2"/>
  <c r="K36" i="2" a="1"/>
  <c r="K36" i="2" s="1"/>
  <c r="N36" i="2" a="1"/>
  <c r="N36" i="2" s="1"/>
  <c r="O36" i="2" a="1"/>
  <c r="O36" i="2" s="1"/>
  <c r="P36" i="2" a="1"/>
  <c r="P36" i="2" s="1"/>
  <c r="Q36" i="2" a="1"/>
  <c r="Q36" i="2" s="1"/>
  <c r="R36" i="2" a="1"/>
  <c r="R36" i="2"/>
  <c r="S36" i="2" a="1"/>
  <c r="S36" i="2"/>
  <c r="U36" i="2" a="1"/>
  <c r="U36" i="2" s="1"/>
  <c r="W36" i="2" a="1"/>
  <c r="W36" i="2"/>
  <c r="Z36" i="2" a="1"/>
  <c r="Z36" i="2"/>
  <c r="AA36" i="2" a="1"/>
  <c r="AA36" i="2" s="1"/>
  <c r="AB36" i="2" a="1"/>
  <c r="AB36" i="2"/>
  <c r="AD36" i="2" a="1"/>
  <c r="AD36" i="2"/>
  <c r="AE36" i="2" a="1"/>
  <c r="AE36" i="2" s="1"/>
  <c r="K37" i="2" a="1"/>
  <c r="K37" i="2" s="1"/>
  <c r="L37" i="2" a="1"/>
  <c r="L37" i="2"/>
  <c r="M37" i="2" a="1"/>
  <c r="M37" i="2"/>
  <c r="N37" i="2" a="1"/>
  <c r="N37" i="2" s="1"/>
  <c r="O37" i="2" a="1"/>
  <c r="O37" i="2" s="1"/>
  <c r="P37" i="2" a="1"/>
  <c r="P37" i="2" s="1"/>
  <c r="Q37" i="2" a="1"/>
  <c r="Q37" i="2" s="1"/>
  <c r="S37" i="2" a="1"/>
  <c r="S37" i="2" s="1"/>
  <c r="U37" i="2" a="1"/>
  <c r="U37" i="2" s="1"/>
  <c r="Z37" i="2" a="1"/>
  <c r="Z37" i="2"/>
  <c r="AA37" i="2" a="1"/>
  <c r="AA37" i="2" s="1"/>
  <c r="AB37" i="2" a="1"/>
  <c r="AB37" i="2"/>
  <c r="AC37" i="2" a="1"/>
  <c r="AC37" i="2"/>
  <c r="AE37" i="2" a="1"/>
  <c r="AE37" i="2" s="1"/>
  <c r="K38" i="2" a="1"/>
  <c r="K38" i="2" s="1"/>
  <c r="L38" i="2" a="1"/>
  <c r="L38" i="2"/>
  <c r="M38" i="2" a="1"/>
  <c r="M38" i="2" s="1"/>
  <c r="N38" i="2" a="1"/>
  <c r="N38" i="2" s="1"/>
  <c r="O38" i="2" a="1"/>
  <c r="O38" i="2"/>
  <c r="P38" i="2" a="1"/>
  <c r="P38" i="2" s="1"/>
  <c r="Q38" i="2" a="1"/>
  <c r="Q38" i="2" s="1"/>
  <c r="R38" i="2" a="1"/>
  <c r="R38" i="2" s="1"/>
  <c r="S38" i="2" a="1"/>
  <c r="S38" i="2" s="1"/>
  <c r="U38" i="2" a="1"/>
  <c r="U38" i="2" s="1"/>
  <c r="W38" i="2" a="1"/>
  <c r="W38" i="2" s="1"/>
  <c r="Z38" i="2" a="1"/>
  <c r="Z38" i="2" s="1"/>
  <c r="AA38" i="2" a="1"/>
  <c r="AA38" i="2"/>
  <c r="AC38" i="2" a="1"/>
  <c r="AC38" i="2" s="1"/>
  <c r="AD38" i="2" a="1"/>
  <c r="AD38" i="2"/>
  <c r="AE38" i="2" a="1"/>
  <c r="AE38" i="2" s="1"/>
  <c r="AF38" i="2" a="1"/>
  <c r="AF38" i="2" s="1"/>
  <c r="K39" i="2" a="1"/>
  <c r="K39" i="2" s="1"/>
  <c r="L39" i="2" a="1"/>
  <c r="L39" i="2" s="1"/>
  <c r="M39" i="2" a="1"/>
  <c r="M39" i="2" s="1"/>
  <c r="N39" i="2" a="1"/>
  <c r="N39" i="2" s="1"/>
  <c r="O39" i="2" a="1"/>
  <c r="O39" i="2" s="1"/>
  <c r="P39" i="2" a="1"/>
  <c r="P39" i="2"/>
  <c r="Q39" i="2" a="1"/>
  <c r="Q39" i="2"/>
  <c r="S39" i="2" a="1"/>
  <c r="S39" i="2"/>
  <c r="T39" i="2" a="1"/>
  <c r="T39" i="2" s="1"/>
  <c r="U39" i="2" a="1"/>
  <c r="U39" i="2" s="1"/>
  <c r="V39" i="2" a="1"/>
  <c r="V39" i="2" s="1"/>
  <c r="W39" i="2" a="1"/>
  <c r="W39" i="2" s="1"/>
  <c r="Z39" i="2" a="1"/>
  <c r="Z39" i="2"/>
  <c r="AA39" i="2" a="1"/>
  <c r="AA39" i="2" s="1"/>
  <c r="AD39" i="2" a="1"/>
  <c r="AD39" i="2" s="1"/>
  <c r="AE39" i="2" a="1"/>
  <c r="AE39" i="2" s="1"/>
  <c r="AG39" i="2" a="1"/>
  <c r="AG39" i="2" s="1"/>
  <c r="AH39" i="2" a="1"/>
  <c r="AH39" i="2"/>
  <c r="K40" i="2" a="1"/>
  <c r="K40" i="2"/>
  <c r="L40" i="2" a="1"/>
  <c r="L40" i="2" s="1"/>
  <c r="M40" i="2" a="1"/>
  <c r="M40" i="2" s="1"/>
  <c r="N40" i="2" a="1"/>
  <c r="N40" i="2" s="1"/>
  <c r="O40" i="2" a="1"/>
  <c r="O40" i="2" s="1"/>
  <c r="P40" i="2" a="1"/>
  <c r="P40" i="2" s="1"/>
  <c r="Q40" i="2" a="1"/>
  <c r="Q40" i="2" s="1"/>
  <c r="R40" i="2" a="1"/>
  <c r="R40" i="2" s="1"/>
  <c r="S40" i="2" a="1"/>
  <c r="S40" i="2"/>
  <c r="U40" i="2" a="1"/>
  <c r="U40" i="2" s="1"/>
  <c r="V40" i="2" a="1"/>
  <c r="V40" i="2" s="1"/>
  <c r="W40" i="2" a="1"/>
  <c r="W40" i="2"/>
  <c r="X40" i="2" a="1"/>
  <c r="X40" i="2"/>
  <c r="Y40" i="2" a="1"/>
  <c r="Y40" i="2" s="1"/>
  <c r="Z40" i="2" a="1"/>
  <c r="Z40" i="2"/>
  <c r="AA40" i="2" a="1"/>
  <c r="AA40" i="2"/>
  <c r="AC40" i="2" a="1"/>
  <c r="AC40" i="2"/>
  <c r="AD40" i="2" a="1"/>
  <c r="AD40" i="2" s="1"/>
  <c r="AH40" i="2" a="1"/>
  <c r="AH40" i="2" s="1"/>
  <c r="AB3" i="8"/>
  <c r="O3" i="8"/>
  <c r="N3" i="8"/>
  <c r="M3" i="8"/>
  <c r="L3" i="8"/>
  <c r="B25" i="8"/>
  <c r="B12" i="8"/>
  <c r="B11" i="8"/>
  <c r="B10" i="8"/>
  <c r="B9" i="8"/>
  <c r="U13" i="2"/>
  <c r="Q3" i="7"/>
  <c r="P3" i="7"/>
  <c r="O3" i="7"/>
  <c r="N3" i="7"/>
  <c r="B2" i="7"/>
  <c r="B16" i="7"/>
  <c r="B15" i="7"/>
  <c r="B14" i="7"/>
  <c r="B13" i="7"/>
  <c r="H37" i="2" a="1"/>
  <c r="H37" i="2" s="1"/>
  <c r="AD12" i="2"/>
  <c r="AC12" i="2"/>
  <c r="AB12" i="2"/>
  <c r="H32" i="2" s="1" a="1"/>
  <c r="H32" i="2" s="1"/>
  <c r="AA12" i="2"/>
  <c r="Z12" i="2"/>
  <c r="Y12" i="2"/>
  <c r="H28" i="2" a="1"/>
  <c r="H28" i="2" s="1"/>
  <c r="H27" i="2" a="1"/>
  <c r="H27" i="2" s="1"/>
  <c r="H26" i="2" a="1"/>
  <c r="H26" i="2" s="1"/>
  <c r="H23" i="2" a="1"/>
  <c r="H23" i="2" s="1"/>
  <c r="H22" i="2" a="1"/>
  <c r="H22" i="2" s="1"/>
  <c r="O12" i="2"/>
  <c r="H19" i="2" s="1" a="1"/>
  <c r="H19" i="2" s="1"/>
  <c r="N12" i="2"/>
  <c r="H18" i="2" s="1" a="1"/>
  <c r="H18" i="2" s="1"/>
  <c r="H13" i="2" a="1"/>
  <c r="H13" i="2" s="1"/>
  <c r="AD2" i="6"/>
  <c r="AC2" i="6"/>
  <c r="Z2" i="6"/>
  <c r="Y2" i="6"/>
  <c r="X2" i="6"/>
  <c r="W2" i="6"/>
  <c r="V2" i="6"/>
  <c r="U2" i="6"/>
  <c r="T2" i="6"/>
  <c r="S2" i="6"/>
  <c r="R2" i="6"/>
  <c r="Q2" i="6"/>
  <c r="P2" i="6"/>
  <c r="O2" i="6"/>
  <c r="N2" i="6"/>
  <c r="K2" i="6"/>
  <c r="J2" i="6"/>
  <c r="E2" i="6"/>
  <c r="B29" i="6"/>
  <c r="B28" i="6"/>
  <c r="B25" i="6"/>
  <c r="B24" i="6"/>
  <c r="B23" i="6"/>
  <c r="B22" i="6"/>
  <c r="B21" i="6"/>
  <c r="B20" i="6"/>
  <c r="B19" i="6"/>
  <c r="B18" i="6"/>
  <c r="B17" i="6"/>
  <c r="B16" i="6"/>
  <c r="B15" i="6"/>
  <c r="B14" i="6"/>
  <c r="B13" i="6"/>
  <c r="B10" i="6"/>
  <c r="B9" i="6"/>
  <c r="B4" i="6"/>
  <c r="B2" i="6"/>
  <c r="B11" i="5"/>
  <c r="B7" i="5"/>
  <c r="B6" i="5"/>
  <c r="B5" i="5"/>
  <c r="AD11" i="2"/>
  <c r="AC11" i="2"/>
  <c r="G33" i="2" s="1" a="1"/>
  <c r="G33" i="2" s="1"/>
  <c r="AB11" i="2"/>
  <c r="G28" i="2" a="1"/>
  <c r="G28" i="2" s="1"/>
  <c r="G27" i="2" a="1"/>
  <c r="G27" i="2" s="1"/>
  <c r="G26" i="2" a="1"/>
  <c r="G26" i="2" s="1"/>
  <c r="P11" i="2"/>
  <c r="L11" i="2"/>
  <c r="G14" i="2" a="1"/>
  <c r="G14" i="2" s="1"/>
  <c r="T26" i="3" a="1"/>
  <c r="T26" i="3" s="1"/>
  <c r="S26" i="3" a="1"/>
  <c r="S26" i="3" s="1"/>
  <c r="N26" i="3" a="1"/>
  <c r="N26" i="3" s="1"/>
  <c r="M26" i="3" a="1"/>
  <c r="M26" i="3" s="1"/>
  <c r="J26" i="3" a="1"/>
  <c r="J26" i="3" s="1"/>
  <c r="I26" i="3" a="1"/>
  <c r="I26" i="3" s="1"/>
  <c r="H26" i="3" a="1"/>
  <c r="H26" i="3" s="1"/>
  <c r="G26" i="3" a="1"/>
  <c r="G26" i="3" s="1"/>
  <c r="T25" i="3" a="1"/>
  <c r="T25" i="3" s="1"/>
  <c r="R25" i="3" a="1"/>
  <c r="R25" i="3" s="1"/>
  <c r="Q25" i="3" a="1"/>
  <c r="Q25" i="3" s="1"/>
  <c r="O25" i="3" a="1"/>
  <c r="O25" i="3" s="1"/>
  <c r="N25" i="3" a="1"/>
  <c r="N25" i="3" s="1"/>
  <c r="M25" i="3" a="1"/>
  <c r="M25" i="3" s="1"/>
  <c r="L25" i="3" a="1"/>
  <c r="L25" i="3" s="1"/>
  <c r="K25" i="3" a="1"/>
  <c r="K25" i="3" s="1"/>
  <c r="H25" i="3" a="1"/>
  <c r="H25" i="3" s="1"/>
  <c r="N24" i="3" a="1"/>
  <c r="N24" i="3" s="1"/>
  <c r="M24" i="3" a="1"/>
  <c r="M24" i="3" s="1"/>
  <c r="J24" i="3" a="1"/>
  <c r="J24" i="3" s="1"/>
  <c r="H24" i="3" a="1"/>
  <c r="H24" i="3" s="1"/>
  <c r="G24" i="3" a="1"/>
  <c r="G24" i="3" s="1"/>
  <c r="R23" i="3" a="1"/>
  <c r="R23" i="3" s="1"/>
  <c r="Q23" i="3" a="1"/>
  <c r="Q23" i="3" s="1"/>
  <c r="P23" i="3" a="1"/>
  <c r="P23" i="3" s="1"/>
  <c r="N23" i="3" a="1"/>
  <c r="N23" i="3" s="1"/>
  <c r="M23" i="3" a="1"/>
  <c r="M23" i="3" s="1"/>
  <c r="L23" i="3" a="1"/>
  <c r="L23" i="3" s="1"/>
  <c r="K23" i="3" a="1"/>
  <c r="K23" i="3" s="1"/>
  <c r="N22" i="3" a="1"/>
  <c r="N22" i="3" s="1"/>
  <c r="J22" i="3" a="1"/>
  <c r="J22" i="3" s="1"/>
  <c r="H22" i="3" a="1"/>
  <c r="H22" i="3" s="1"/>
  <c r="G22" i="3" a="1"/>
  <c r="G22" i="3" s="1"/>
  <c r="P21" i="3" a="1"/>
  <c r="P21" i="3" s="1"/>
  <c r="N21" i="3" a="1"/>
  <c r="N21" i="3" s="1"/>
  <c r="M21" i="3" a="1"/>
  <c r="M21" i="3" s="1"/>
  <c r="L21" i="3" a="1"/>
  <c r="L21" i="3" s="1"/>
  <c r="J21" i="3" a="1"/>
  <c r="J21" i="3" s="1"/>
  <c r="H21" i="3" a="1"/>
  <c r="H21" i="3" s="1"/>
  <c r="G21" i="3" a="1"/>
  <c r="G21" i="3" s="1"/>
  <c r="O20" i="3" a="1"/>
  <c r="O20" i="3" s="1"/>
  <c r="L20" i="3" a="1"/>
  <c r="L20" i="3" s="1"/>
  <c r="H20" i="3" a="1"/>
  <c r="H20" i="3" s="1"/>
  <c r="N19" i="3" a="1"/>
  <c r="N19" i="3" s="1"/>
  <c r="M19" i="3" a="1"/>
  <c r="M19" i="3" s="1"/>
  <c r="L19" i="3" a="1"/>
  <c r="L19" i="3" s="1"/>
  <c r="K19" i="3" a="1"/>
  <c r="K19" i="3" s="1"/>
  <c r="J19" i="3" a="1"/>
  <c r="J19" i="3" s="1"/>
  <c r="I19" i="3" a="1"/>
  <c r="I19" i="3" s="1"/>
  <c r="H19" i="3" a="1"/>
  <c r="H19" i="3" s="1"/>
  <c r="G19" i="3" a="1"/>
  <c r="G19" i="3" s="1"/>
  <c r="M18" i="3" a="1"/>
  <c r="M18" i="3" s="1"/>
  <c r="L18" i="3" a="1"/>
  <c r="L18" i="3" s="1"/>
  <c r="K18" i="3" a="1"/>
  <c r="K18" i="3" s="1"/>
  <c r="J18" i="3" a="1"/>
  <c r="J18" i="3" s="1"/>
  <c r="I18" i="3" a="1"/>
  <c r="I18" i="3" s="1"/>
  <c r="H18" i="3" a="1"/>
  <c r="H18" i="3" s="1"/>
  <c r="G18" i="3" a="1"/>
  <c r="G18" i="3" s="1"/>
  <c r="L17" i="3" a="1"/>
  <c r="L17" i="3" s="1"/>
  <c r="K17" i="3" a="1"/>
  <c r="K17" i="3" s="1"/>
  <c r="K16" i="3" a="1"/>
  <c r="K16" i="3" s="1"/>
  <c r="H16" i="3" a="1"/>
  <c r="H16" i="3" s="1"/>
  <c r="J15" i="3" a="1"/>
  <c r="J15" i="3" s="1"/>
  <c r="I15" i="3" a="1"/>
  <c r="I15" i="3" s="1"/>
  <c r="H15" i="3" a="1"/>
  <c r="H15" i="3" s="1"/>
  <c r="H14" i="3" a="1"/>
  <c r="H14" i="3" s="1"/>
  <c r="H13" i="3" a="1"/>
  <c r="H13" i="3" s="1"/>
  <c r="G13" i="3" a="1"/>
  <c r="G13" i="3" s="1"/>
  <c r="V10" i="3"/>
  <c r="U10" i="3"/>
  <c r="T10" i="3"/>
  <c r="S10" i="3"/>
  <c r="R10" i="3"/>
  <c r="Q10" i="3"/>
  <c r="P10" i="3"/>
  <c r="O10" i="3"/>
  <c r="N10" i="3"/>
  <c r="M10" i="3"/>
  <c r="L10" i="3"/>
  <c r="K10" i="3"/>
  <c r="J10" i="3"/>
  <c r="I10" i="3"/>
  <c r="H10" i="3"/>
  <c r="G10" i="3"/>
  <c r="BT25" i="2"/>
  <c r="BS26" i="2"/>
  <c r="BT26" i="2"/>
  <c r="BT30" i="2"/>
  <c r="BT31" i="2"/>
  <c r="BT32" i="2"/>
  <c r="BT40" i="2"/>
  <c r="BT41" i="2"/>
  <c r="BT12" i="2"/>
  <c r="BT13" i="2"/>
  <c r="BT17" i="2"/>
  <c r="BS18" i="2"/>
  <c r="AH41" i="2" a="1"/>
  <c r="AH41" i="2"/>
  <c r="AG41" i="2" a="1"/>
  <c r="AG41" i="2" s="1"/>
  <c r="AF41" i="2" a="1"/>
  <c r="AF41" i="2" s="1"/>
  <c r="AE41" i="2" a="1"/>
  <c r="AE41" i="2" s="1"/>
  <c r="AD41" i="2" a="1"/>
  <c r="AD41" i="2" s="1"/>
  <c r="AC41" i="2" a="1"/>
  <c r="AC41" i="2" s="1"/>
  <c r="AJ41" i="2" a="1"/>
  <c r="AJ41" i="2" s="1"/>
  <c r="AA41" i="2" a="1"/>
  <c r="AA41" i="2" s="1"/>
  <c r="Z41" i="2" a="1"/>
  <c r="Z41" i="2"/>
  <c r="J10" i="2"/>
  <c r="W41" i="2" a="1"/>
  <c r="W41" i="2" s="1"/>
  <c r="U41" i="2" a="1"/>
  <c r="U41" i="2" s="1"/>
  <c r="S41" i="2" a="1"/>
  <c r="S41" i="2"/>
  <c r="R41" i="2" a="1"/>
  <c r="R41" i="2"/>
  <c r="Q41" i="2" a="1"/>
  <c r="Q41" i="2" s="1"/>
  <c r="P41" i="2" a="1"/>
  <c r="P41" i="2"/>
  <c r="O41" i="2" a="1"/>
  <c r="O41" i="2" s="1"/>
  <c r="N41" i="2" a="1"/>
  <c r="N41" i="2" s="1"/>
  <c r="M41" i="2" a="1"/>
  <c r="M41" i="2" s="1"/>
  <c r="L41" i="2" a="1"/>
  <c r="L41" i="2" s="1"/>
  <c r="K41" i="2" a="1"/>
  <c r="K41" i="2" s="1"/>
  <c r="J16" i="2" a="1"/>
  <c r="J16" i="2" s="1"/>
  <c r="J17" i="2" a="1"/>
  <c r="J17" i="2" s="1"/>
  <c r="J18" i="2" a="1"/>
  <c r="J18" i="2" s="1"/>
  <c r="J19" i="2" a="1"/>
  <c r="J19" i="2" s="1"/>
  <c r="J20" i="2" a="1"/>
  <c r="J20" i="2" s="1"/>
  <c r="J21" i="2" a="1"/>
  <c r="J21" i="2" s="1"/>
  <c r="J22" i="2" a="1"/>
  <c r="J22" i="2" s="1"/>
  <c r="J23" i="2" a="1"/>
  <c r="J23" i="2" s="1"/>
  <c r="J25" i="2" a="1"/>
  <c r="J25" i="2" s="1"/>
  <c r="J26" i="2" a="1"/>
  <c r="J26" i="2" s="1"/>
  <c r="J27" i="2" a="1"/>
  <c r="J27" i="2" s="1"/>
  <c r="J28" i="2" a="1"/>
  <c r="J28" i="2" s="1"/>
  <c r="J29" i="2" a="1"/>
  <c r="J29" i="2" s="1"/>
  <c r="J30" i="2" a="1"/>
  <c r="J30" i="2" s="1"/>
  <c r="J31" i="2" a="1"/>
  <c r="J31" i="2" s="1"/>
  <c r="J32" i="2" a="1"/>
  <c r="J32" i="2" s="1"/>
  <c r="J33" i="2" a="1"/>
  <c r="J33" i="2" s="1"/>
  <c r="J34" i="2" a="1"/>
  <c r="J34" i="2" s="1"/>
  <c r="J35" i="2" a="1"/>
  <c r="J35" i="2" s="1"/>
  <c r="J36" i="2" a="1"/>
  <c r="J36" i="2" s="1"/>
  <c r="J37" i="2" a="1"/>
  <c r="J37" i="2" s="1"/>
  <c r="J39" i="2" a="1"/>
  <c r="J39" i="2" s="1"/>
  <c r="J40" i="2" a="1"/>
  <c r="J40" i="2" s="1"/>
  <c r="J41" i="2" a="1"/>
  <c r="J41" i="2" s="1"/>
  <c r="J15" i="2" a="1"/>
  <c r="J15" i="2" s="1"/>
  <c r="I15" i="2" a="1"/>
  <c r="I15" i="2" s="1"/>
  <c r="I16" i="2" a="1"/>
  <c r="I16" i="2" s="1"/>
  <c r="I17" i="2" a="1"/>
  <c r="I17" i="2" s="1"/>
  <c r="I18" i="2" a="1"/>
  <c r="I18" i="2" s="1"/>
  <c r="I19" i="2" a="1"/>
  <c r="I19" i="2" s="1"/>
  <c r="I20" i="2" a="1"/>
  <c r="I20" i="2" s="1"/>
  <c r="I21" i="2" a="1"/>
  <c r="I21" i="2" s="1"/>
  <c r="I22" i="2" a="1"/>
  <c r="I22" i="2" s="1"/>
  <c r="I23" i="2" a="1"/>
  <c r="I23" i="2" s="1"/>
  <c r="I24" i="2" a="1"/>
  <c r="I24" i="2" s="1"/>
  <c r="I25" i="2" a="1"/>
  <c r="I25" i="2" s="1"/>
  <c r="I26" i="2" a="1"/>
  <c r="I26" i="2" s="1"/>
  <c r="I27" i="2" a="1"/>
  <c r="I27" i="2" s="1"/>
  <c r="I28" i="2" a="1"/>
  <c r="I28" i="2" s="1"/>
  <c r="I29" i="2" a="1"/>
  <c r="I29" i="2" s="1"/>
  <c r="I30" i="2" a="1"/>
  <c r="I30" i="2" s="1"/>
  <c r="I31" i="2" a="1"/>
  <c r="I31" i="2" s="1"/>
  <c r="I32" i="2" a="1"/>
  <c r="I32" i="2" s="1"/>
  <c r="I33" i="2" a="1"/>
  <c r="I33" i="2" s="1"/>
  <c r="I34" i="2" a="1"/>
  <c r="I34" i="2" s="1"/>
  <c r="I35" i="2" a="1"/>
  <c r="I35" i="2" s="1"/>
  <c r="I36" i="2" a="1"/>
  <c r="I36" i="2" s="1"/>
  <c r="I37" i="2" a="1"/>
  <c r="I37" i="2" s="1"/>
  <c r="I38" i="2" a="1"/>
  <c r="I38" i="2" s="1"/>
  <c r="I39" i="2" a="1"/>
  <c r="I39" i="2" s="1"/>
  <c r="I40" i="2" a="1"/>
  <c r="I40" i="2" s="1"/>
  <c r="I41" i="2" a="1"/>
  <c r="I41" i="2" s="1"/>
  <c r="I14" i="2" a="1"/>
  <c r="I14" i="2" s="1"/>
  <c r="H14" i="2" a="1"/>
  <c r="H14" i="2" s="1"/>
  <c r="H15" i="2" a="1"/>
  <c r="H15" i="2" s="1"/>
  <c r="H16" i="2" a="1"/>
  <c r="H16" i="2" s="1"/>
  <c r="H17" i="2" a="1"/>
  <c r="H17" i="2" s="1"/>
  <c r="H20" i="2" a="1"/>
  <c r="H20" i="2" s="1"/>
  <c r="H21" i="2" a="1"/>
  <c r="H21" i="2" s="1"/>
  <c r="H25" i="2" a="1"/>
  <c r="H25" i="2" s="1"/>
  <c r="H30" i="2" a="1"/>
  <c r="H30" i="2" s="1"/>
  <c r="H31" i="2" a="1"/>
  <c r="H31" i="2" s="1"/>
  <c r="H33" i="2" a="1"/>
  <c r="H33" i="2" s="1"/>
  <c r="H34" i="2" a="1"/>
  <c r="H34" i="2" s="1"/>
  <c r="H35" i="2" a="1"/>
  <c r="H35" i="2" s="1"/>
  <c r="H36" i="2" a="1"/>
  <c r="H36" i="2" s="1"/>
  <c r="H38" i="2" a="1"/>
  <c r="H38" i="2" s="1"/>
  <c r="H39" i="2" a="1"/>
  <c r="H39" i="2" s="1"/>
  <c r="H40" i="2" a="1"/>
  <c r="H40" i="2" s="1"/>
  <c r="H41" i="2" a="1"/>
  <c r="H41" i="2" s="1"/>
  <c r="G15" i="2" a="1"/>
  <c r="G15" i="2" s="1"/>
  <c r="G16" i="2" a="1"/>
  <c r="G16" i="2" s="1"/>
  <c r="G17" i="2" a="1"/>
  <c r="G17" i="2" s="1"/>
  <c r="G18" i="2" a="1"/>
  <c r="G18" i="2" s="1"/>
  <c r="G19" i="2" a="1"/>
  <c r="G19" i="2" s="1"/>
  <c r="G20" i="2" a="1"/>
  <c r="G20" i="2" s="1"/>
  <c r="G21" i="2" a="1"/>
  <c r="G21" i="2" s="1"/>
  <c r="G22" i="2" a="1"/>
  <c r="G22" i="2" s="1"/>
  <c r="G24" i="2" a="1"/>
  <c r="G24" i="2" s="1"/>
  <c r="G25" i="2" a="1"/>
  <c r="G25" i="2" s="1"/>
  <c r="G29" i="2" a="1"/>
  <c r="G29" i="2" s="1"/>
  <c r="G30" i="2" a="1"/>
  <c r="G30" i="2" s="1"/>
  <c r="G31" i="2" a="1"/>
  <c r="G31" i="2" s="1"/>
  <c r="G32" i="2" a="1"/>
  <c r="G32" i="2" s="1"/>
  <c r="G34" i="2" a="1"/>
  <c r="G34" i="2" s="1"/>
  <c r="G35" i="2" a="1"/>
  <c r="G35" i="2" s="1"/>
  <c r="G36" i="2" a="1"/>
  <c r="G36" i="2" s="1"/>
  <c r="G37" i="2" a="1"/>
  <c r="G37" i="2" s="1"/>
  <c r="G38" i="2" a="1"/>
  <c r="G38" i="2" s="1"/>
  <c r="G39" i="2" a="1"/>
  <c r="G39" i="2" s="1"/>
  <c r="G40" i="2" a="1"/>
  <c r="G40" i="2" s="1"/>
  <c r="G41" i="2" a="1"/>
  <c r="G41" i="2" s="1"/>
  <c r="G13" i="2" a="1"/>
  <c r="G13" i="2" s="1"/>
  <c r="G12" i="2" a="1"/>
  <c r="G12" i="2" s="1"/>
  <c r="AK10" i="2"/>
  <c r="AJ10" i="2"/>
  <c r="AI10" i="2"/>
  <c r="AH10" i="2"/>
  <c r="AG10" i="2"/>
  <c r="AF10" i="2"/>
  <c r="AE10" i="2"/>
  <c r="AD10" i="2"/>
  <c r="AC10" i="2"/>
  <c r="AB10" i="2"/>
  <c r="AA10" i="2"/>
  <c r="Z10" i="2"/>
  <c r="Y10" i="2"/>
  <c r="X10" i="2"/>
  <c r="W10" i="2"/>
  <c r="V10" i="2"/>
  <c r="U10" i="2"/>
  <c r="T10" i="2"/>
  <c r="S10" i="2"/>
  <c r="R10" i="2"/>
  <c r="Q10" i="2"/>
  <c r="P10" i="2"/>
  <c r="O10" i="2"/>
  <c r="N10" i="2"/>
  <c r="M10" i="2"/>
  <c r="L10" i="2"/>
  <c r="K10" i="2"/>
  <c r="I10" i="2"/>
  <c r="H10" i="2"/>
  <c r="G10" i="2"/>
  <c r="O37" i="57" l="1"/>
  <c r="Q37" i="57"/>
  <c r="H37" i="57" a="1"/>
  <c r="H37" i="57" s="1"/>
  <c r="P37" i="57" s="1"/>
  <c r="O13" i="57"/>
  <c r="Q13" i="57"/>
  <c r="O12" i="57"/>
  <c r="O22" i="57"/>
  <c r="O24" i="57"/>
  <c r="O35" i="57"/>
  <c r="O36" i="57"/>
  <c r="P23" i="57"/>
  <c r="P12" i="57"/>
  <c r="P13" i="57"/>
  <c r="P11" i="57"/>
  <c r="O23" i="57"/>
  <c r="O38" i="57"/>
  <c r="P36" i="57"/>
  <c r="O14" i="57"/>
  <c r="P38" i="57"/>
  <c r="P14" i="57"/>
  <c r="Q38" i="57"/>
  <c r="F11" i="57"/>
  <c r="M11" i="57" s="1"/>
  <c r="P24" i="57"/>
  <c r="P22" i="57"/>
  <c r="Q24" i="57"/>
  <c r="O11" i="57"/>
  <c r="Q22" i="57"/>
  <c r="Q11" i="57"/>
  <c r="O21" i="57"/>
  <c r="P21" i="57"/>
  <c r="Q21" i="57"/>
  <c r="Q35" i="57"/>
  <c r="Q14" i="57"/>
  <c r="Q23" i="57"/>
  <c r="R33" i="52"/>
  <c r="X44" i="56"/>
  <c r="X43" i="56"/>
  <c r="X42" i="56"/>
  <c r="T42" i="56"/>
  <c r="U45" i="56"/>
  <c r="R42" i="56"/>
  <c r="W41" i="56"/>
  <c r="W42" i="56"/>
  <c r="W47" i="56"/>
  <c r="W44" i="56"/>
  <c r="V41" i="56"/>
  <c r="V45" i="56"/>
  <c r="T45" i="56"/>
  <c r="S44" i="56"/>
  <c r="S45" i="56"/>
  <c r="R46" i="56"/>
  <c r="R47" i="56"/>
  <c r="R45" i="56"/>
  <c r="W28" i="56"/>
  <c r="V24" i="56"/>
  <c r="V28" i="56"/>
  <c r="V30" i="56"/>
  <c r="U24" i="56"/>
  <c r="U25" i="56"/>
  <c r="U30" i="56"/>
  <c r="T24" i="56"/>
  <c r="T29" i="56"/>
  <c r="S29" i="56"/>
  <c r="S28" i="56"/>
  <c r="R25" i="56"/>
  <c r="R24" i="56"/>
  <c r="R28" i="56"/>
  <c r="R30" i="56"/>
  <c r="S42" i="56"/>
  <c r="S41" i="56"/>
  <c r="R26" i="56"/>
  <c r="T46" i="56"/>
  <c r="U46" i="56"/>
  <c r="T28" i="56"/>
  <c r="W29" i="56"/>
  <c r="T41" i="56"/>
  <c r="S46" i="56"/>
  <c r="R29" i="56"/>
  <c r="V44" i="56"/>
  <c r="S27" i="56"/>
  <c r="T44" i="56"/>
  <c r="W24" i="56"/>
  <c r="S47" i="56"/>
  <c r="W27" i="56"/>
  <c r="R27" i="56"/>
  <c r="W30" i="56"/>
  <c r="U29" i="56"/>
  <c r="V47" i="56"/>
  <c r="V27" i="56"/>
  <c r="T47" i="56"/>
  <c r="U27" i="56"/>
  <c r="W43" i="56"/>
  <c r="R44" i="56"/>
  <c r="V26" i="56"/>
  <c r="U26" i="56"/>
  <c r="V43" i="56"/>
  <c r="T26" i="56"/>
  <c r="U43" i="56"/>
  <c r="V29" i="56"/>
  <c r="S26" i="56"/>
  <c r="W46" i="56"/>
  <c r="T43" i="56"/>
  <c r="V46" i="56"/>
  <c r="S43" i="56"/>
  <c r="S24" i="56"/>
  <c r="V42" i="56"/>
  <c r="T25" i="56"/>
  <c r="U42" i="56"/>
  <c r="T27" i="56"/>
  <c r="T30" i="56"/>
  <c r="V25" i="56"/>
  <c r="S25" i="56"/>
  <c r="W45" i="56"/>
  <c r="U41" i="56"/>
  <c r="U44" i="56"/>
  <c r="S30" i="56"/>
  <c r="U28" i="56"/>
  <c r="U47" i="56"/>
  <c r="R43" i="56"/>
  <c r="R41" i="56"/>
  <c r="X15" i="56"/>
  <c r="V13" i="56"/>
  <c r="X17" i="56"/>
  <c r="V16" i="56"/>
  <c r="V11" i="56"/>
  <c r="W17" i="56"/>
  <c r="V17" i="56"/>
  <c r="I15" i="56" a="1"/>
  <c r="I15" i="56" s="1"/>
  <c r="W14" i="56"/>
  <c r="X14" i="56"/>
  <c r="X16" i="56"/>
  <c r="H16" i="56" a="1"/>
  <c r="H16" i="56" s="1"/>
  <c r="J16" i="56" a="1"/>
  <c r="J16" i="56" s="1"/>
  <c r="X12" i="56"/>
  <c r="X11" i="56"/>
  <c r="V15" i="56"/>
  <c r="V14" i="56"/>
  <c r="J15" i="56" a="1"/>
  <c r="J15" i="56" s="1"/>
  <c r="V12" i="56"/>
  <c r="W13" i="56"/>
  <c r="X13" i="56"/>
  <c r="W15" i="56"/>
  <c r="V32" i="52"/>
  <c r="T32" i="52"/>
  <c r="S32" i="52"/>
  <c r="U37" i="52"/>
  <c r="U26" i="52"/>
  <c r="S24" i="52"/>
  <c r="T38" i="52"/>
  <c r="R34" i="52"/>
  <c r="R37" i="52"/>
  <c r="R35" i="52"/>
  <c r="T27" i="52"/>
  <c r="U38" i="52"/>
  <c r="T26" i="52"/>
  <c r="R38" i="52"/>
  <c r="R36" i="52"/>
  <c r="W38" i="52"/>
  <c r="W37" i="52"/>
  <c r="V37" i="52"/>
  <c r="S38" i="52"/>
  <c r="S25" i="52"/>
  <c r="S37" i="52"/>
  <c r="S26" i="52"/>
  <c r="W35" i="52"/>
  <c r="S36" i="52"/>
  <c r="V35" i="52"/>
  <c r="U35" i="52"/>
  <c r="S35" i="52"/>
  <c r="T35" i="52"/>
  <c r="T36" i="52"/>
  <c r="T34" i="52"/>
  <c r="V38" i="52"/>
  <c r="S34" i="52"/>
  <c r="W33" i="52"/>
  <c r="T37" i="52"/>
  <c r="V34" i="52"/>
  <c r="U34" i="52"/>
  <c r="V33" i="52"/>
  <c r="W34" i="52"/>
  <c r="U33" i="52"/>
  <c r="T33" i="52"/>
  <c r="U25" i="52"/>
  <c r="T24" i="52"/>
  <c r="W32" i="52"/>
  <c r="S22" i="52"/>
  <c r="V36" i="52"/>
  <c r="S33" i="52"/>
  <c r="U22" i="52"/>
  <c r="U36" i="52"/>
  <c r="U32" i="52"/>
  <c r="T25" i="52"/>
  <c r="R32" i="52"/>
  <c r="W25" i="52"/>
  <c r="U24" i="52"/>
  <c r="U27" i="52"/>
  <c r="U23" i="52"/>
  <c r="K27" i="52" a="1"/>
  <c r="K27" i="52" s="1"/>
  <c r="S27" i="52"/>
  <c r="W26" i="52"/>
  <c r="T22" i="52"/>
  <c r="G23" i="52" a="1"/>
  <c r="G23" i="52" s="1"/>
  <c r="V24" i="52"/>
  <c r="W27" i="52"/>
  <c r="S23" i="52"/>
  <c r="W22" i="52"/>
  <c r="W11" i="52"/>
  <c r="U11" i="52"/>
  <c r="W12" i="52"/>
  <c r="U16" i="52"/>
  <c r="W13" i="52"/>
  <c r="U15" i="52"/>
  <c r="G12" i="52" a="1"/>
  <c r="G12" i="52" s="1"/>
  <c r="S12" i="52"/>
  <c r="S11" i="52"/>
  <c r="W15" i="52"/>
  <c r="K16" i="52" a="1"/>
  <c r="K16" i="52" s="1"/>
  <c r="V11" i="52" s="1"/>
  <c r="U14" i="52"/>
  <c r="G15" i="52" a="1"/>
  <c r="G15" i="52" s="1"/>
  <c r="G16" i="52" a="1"/>
  <c r="G16" i="52" s="1"/>
  <c r="S13" i="52"/>
  <c r="I14" i="52" a="1"/>
  <c r="I14" i="52" s="1"/>
  <c r="U13" i="52"/>
  <c r="W16" i="52"/>
  <c r="U12" i="52"/>
  <c r="W14" i="52"/>
  <c r="S15" i="52"/>
  <c r="S16" i="52"/>
  <c r="L26" i="3" a="1"/>
  <c r="L26" i="3" s="1"/>
  <c r="AF23" i="3" s="1"/>
  <c r="AM19" i="3"/>
  <c r="AI24" i="3"/>
  <c r="AI12" i="3"/>
  <c r="AH25" i="3"/>
  <c r="AL19" i="3"/>
  <c r="AK23" i="3"/>
  <c r="AK19" i="3"/>
  <c r="AI26" i="3"/>
  <c r="AI14" i="3"/>
  <c r="AI21" i="3"/>
  <c r="AI23" i="3"/>
  <c r="AI25" i="3"/>
  <c r="AI15" i="3"/>
  <c r="AI16" i="3"/>
  <c r="AI19" i="3"/>
  <c r="AI22" i="3"/>
  <c r="AI11" i="3"/>
  <c r="AI17" i="3"/>
  <c r="AI18" i="3"/>
  <c r="AG14" i="3"/>
  <c r="AF11" i="3"/>
  <c r="AE25" i="3"/>
  <c r="AW25" i="2"/>
  <c r="AV27" i="2"/>
  <c r="AW30" i="2"/>
  <c r="AU25" i="2"/>
  <c r="AZ31" i="2"/>
  <c r="BS38" i="2"/>
  <c r="BJ18" i="2"/>
  <c r="BT22" i="2"/>
  <c r="BT11" i="2"/>
  <c r="BT21" i="2"/>
  <c r="BS11" i="2"/>
  <c r="BS36" i="2"/>
  <c r="BS21" i="2"/>
  <c r="AI40" i="2" a="1"/>
  <c r="AI40" i="2" s="1"/>
  <c r="BR27" i="2" s="1"/>
  <c r="T40" i="2" a="1"/>
  <c r="T40" i="2" s="1"/>
  <c r="BC34" i="2" s="1"/>
  <c r="AW26" i="2"/>
  <c r="BS25" i="2"/>
  <c r="BT24" i="2"/>
  <c r="AW33" i="2"/>
  <c r="BT23" i="2"/>
  <c r="BS22" i="2"/>
  <c r="BT20" i="2"/>
  <c r="AW31" i="2"/>
  <c r="AZ16" i="2"/>
  <c r="BS35" i="2"/>
  <c r="AV30" i="2"/>
  <c r="AW32" i="2"/>
  <c r="BT39" i="2"/>
  <c r="BS24" i="2"/>
  <c r="BT38" i="2"/>
  <c r="BS37" i="2"/>
  <c r="BT35" i="2"/>
  <c r="BT19" i="2"/>
  <c r="BT34" i="2"/>
  <c r="AT38" i="2"/>
  <c r="BS23" i="2"/>
  <c r="BT37" i="2"/>
  <c r="BS19" i="2"/>
  <c r="BS34" i="2"/>
  <c r="BT18" i="2"/>
  <c r="BT33" i="2"/>
  <c r="BN32" i="2"/>
  <c r="BJ41" i="2"/>
  <c r="BS17" i="2"/>
  <c r="AY34" i="2"/>
  <c r="BT16" i="2"/>
  <c r="BT29" i="2"/>
  <c r="AW21" i="2"/>
  <c r="AB41" i="2" a="1"/>
  <c r="AB41" i="2" s="1"/>
  <c r="AB40" i="2" a="1"/>
  <c r="AB40" i="2" s="1"/>
  <c r="AW27" i="2"/>
  <c r="BS40" i="2"/>
  <c r="BT15" i="2"/>
  <c r="BT27" i="2"/>
  <c r="BS14" i="2"/>
  <c r="BS13" i="2"/>
  <c r="BS31" i="2"/>
  <c r="BS12" i="2"/>
  <c r="BS30" i="2"/>
  <c r="BS33" i="2"/>
  <c r="BS32" i="2"/>
  <c r="BS41" i="2"/>
  <c r="BS29" i="2"/>
  <c r="BR35" i="2"/>
  <c r="BR34" i="2"/>
  <c r="BR25" i="2"/>
  <c r="BR32" i="2"/>
  <c r="BR22" i="2"/>
  <c r="BR24" i="2"/>
  <c r="BR39" i="2"/>
  <c r="BR30" i="2"/>
  <c r="BR21" i="2"/>
  <c r="BR29" i="2"/>
  <c r="BR36" i="2"/>
  <c r="BQ36" i="2"/>
  <c r="BQ32" i="2"/>
  <c r="BQ40" i="2"/>
  <c r="BQ27" i="2"/>
  <c r="BQ12" i="2"/>
  <c r="BQ20" i="2"/>
  <c r="BQ16" i="2"/>
  <c r="BQ25" i="2"/>
  <c r="BQ18" i="2"/>
  <c r="BQ34" i="2"/>
  <c r="BQ35" i="2"/>
  <c r="BQ28" i="2"/>
  <c r="BQ29" i="2"/>
  <c r="BQ17" i="2"/>
  <c r="BQ30" i="2"/>
  <c r="BQ21" i="2"/>
  <c r="BQ31" i="2"/>
  <c r="BQ23" i="2"/>
  <c r="BQ14" i="2"/>
  <c r="BQ22" i="2"/>
  <c r="BQ11" i="2"/>
  <c r="BP17" i="2"/>
  <c r="BP37" i="2"/>
  <c r="BP32" i="2"/>
  <c r="BP11" i="2"/>
  <c r="BP27" i="2"/>
  <c r="BP28" i="2"/>
  <c r="BO37" i="2"/>
  <c r="BO17" i="2"/>
  <c r="BO13" i="2"/>
  <c r="BO32" i="2"/>
  <c r="BP31" i="2"/>
  <c r="BN11" i="2"/>
  <c r="BN23" i="2"/>
  <c r="BM38" i="2"/>
  <c r="BM36" i="2"/>
  <c r="BM23" i="2"/>
  <c r="BM34" i="2"/>
  <c r="BM21" i="2"/>
  <c r="BM18" i="2"/>
  <c r="BM39" i="2"/>
  <c r="BM35" i="2"/>
  <c r="BM15" i="2"/>
  <c r="BM32" i="2"/>
  <c r="BM27" i="2"/>
  <c r="BM19" i="2"/>
  <c r="BM41" i="2"/>
  <c r="BM24" i="2"/>
  <c r="BL41" i="2"/>
  <c r="BL35" i="2"/>
  <c r="BL23" i="2"/>
  <c r="BL18" i="2"/>
  <c r="BL15" i="2"/>
  <c r="BL21" i="2"/>
  <c r="BL27" i="2"/>
  <c r="BL39" i="2"/>
  <c r="BO20" i="2"/>
  <c r="BQ15" i="2"/>
  <c r="BP41" i="2"/>
  <c r="BP35" i="2"/>
  <c r="BQ19" i="2"/>
  <c r="BQ39" i="2"/>
  <c r="BP30" i="2"/>
  <c r="BP19" i="2"/>
  <c r="BP39" i="2"/>
  <c r="BO30" i="2"/>
  <c r="BO39" i="2"/>
  <c r="BO23" i="2"/>
  <c r="BP18" i="2"/>
  <c r="BL24" i="2"/>
  <c r="BQ13" i="2"/>
  <c r="BQ38" i="2"/>
  <c r="BN12" i="2"/>
  <c r="BN15" i="2"/>
  <c r="BO24" i="2"/>
  <c r="BO15" i="2"/>
  <c r="BK23" i="2"/>
  <c r="BP38" i="2"/>
  <c r="BP34" i="2"/>
  <c r="BL28" i="2"/>
  <c r="BL30" i="2"/>
  <c r="BP16" i="2"/>
  <c r="AB34" i="2" a="1"/>
  <c r="AB34" i="2" s="1"/>
  <c r="BK41" i="2" s="1"/>
  <c r="BM40" i="2"/>
  <c r="BM16" i="2"/>
  <c r="BQ41" i="2"/>
  <c r="BP29" i="2"/>
  <c r="BN34" i="2"/>
  <c r="BN36" i="2"/>
  <c r="BS15" i="2"/>
  <c r="BQ37" i="2"/>
  <c r="BQ33" i="2"/>
  <c r="BP21" i="2"/>
  <c r="BP25" i="2"/>
  <c r="BJ31" i="2"/>
  <c r="BJ33" i="2"/>
  <c r="BN39" i="2"/>
  <c r="BO22" i="2"/>
  <c r="BI33" i="2"/>
  <c r="BO12" i="2"/>
  <c r="BN30" i="2"/>
  <c r="BO25" i="2"/>
  <c r="BI18" i="2"/>
  <c r="BI26" i="2"/>
  <c r="BM30" i="2"/>
  <c r="BP22" i="2"/>
  <c r="BL33" i="2"/>
  <c r="BI41" i="2"/>
  <c r="BM20" i="2"/>
  <c r="BM17" i="2"/>
  <c r="BP13" i="2"/>
  <c r="BK33" i="2"/>
  <c r="BI24" i="2"/>
  <c r="BM33" i="2"/>
  <c r="BL20" i="2"/>
  <c r="BP36" i="2"/>
  <c r="Y33" i="2" a="1"/>
  <c r="Y33" i="2" s="1"/>
  <c r="BH26" i="2" s="1"/>
  <c r="BJ26" i="2"/>
  <c r="BN13" i="2"/>
  <c r="BL32" i="2"/>
  <c r="X31" i="2" a="1"/>
  <c r="X31" i="2" s="1"/>
  <c r="BG31" i="2" s="1"/>
  <c r="BN19" i="2"/>
  <c r="BL16" i="2"/>
  <c r="BI13" i="2"/>
  <c r="BM37" i="2"/>
  <c r="BO34" i="2"/>
  <c r="BM31" i="2"/>
  <c r="BM28" i="2"/>
  <c r="BJ25" i="2"/>
  <c r="BO40" i="2"/>
  <c r="BI14" i="2"/>
  <c r="BK13" i="2"/>
  <c r="BN25" i="2"/>
  <c r="BJ16" i="2"/>
  <c r="BO19" i="2"/>
  <c r="BJ13" i="2"/>
  <c r="BN37" i="2"/>
  <c r="X29" i="2" a="1"/>
  <c r="X29" i="2" s="1"/>
  <c r="BN21" i="2"/>
  <c r="BL37" i="2"/>
  <c r="BL31" i="2"/>
  <c r="BP24" i="2"/>
  <c r="BO21" i="2"/>
  <c r="BL25" i="2"/>
  <c r="BK32" i="2"/>
  <c r="BL17" i="2"/>
  <c r="BK34" i="2"/>
  <c r="BI34" i="2"/>
  <c r="BL36" i="2"/>
  <c r="BK38" i="2"/>
  <c r="BL11" i="2"/>
  <c r="BJ17" i="2"/>
  <c r="BL12" i="2"/>
  <c r="BJ36" i="2"/>
  <c r="BM29" i="2"/>
  <c r="BM22" i="2"/>
  <c r="BO11" i="2"/>
  <c r="BI40" i="2"/>
  <c r="BL29" i="2"/>
  <c r="BL22" i="2"/>
  <c r="BJ11" i="2"/>
  <c r="BM14" i="2"/>
  <c r="BK29" i="2"/>
  <c r="BQ26" i="2"/>
  <c r="BK24" i="2"/>
  <c r="BN41" i="2"/>
  <c r="BL34" i="2"/>
  <c r="BL38" i="2"/>
  <c r="BM11" i="2"/>
  <c r="BK17" i="2"/>
  <c r="BK40" i="2"/>
  <c r="BJ38" i="2"/>
  <c r="W33" i="2" a="1"/>
  <c r="W33" i="2" s="1"/>
  <c r="BI19" i="2"/>
  <c r="BI36" i="2"/>
  <c r="BI11" i="2"/>
  <c r="BM26" i="2"/>
  <c r="BJ24" i="2"/>
  <c r="BJ22" i="2"/>
  <c r="W37" i="2" a="1"/>
  <c r="W37" i="2" s="1"/>
  <c r="BF19" i="2" s="1"/>
  <c r="BO33" i="2"/>
  <c r="BI25" i="2"/>
  <c r="BL40" i="2"/>
  <c r="BJ32" i="2"/>
  <c r="BL19" i="2"/>
  <c r="BK36" i="2"/>
  <c r="BN27" i="2"/>
  <c r="BJ40" i="2"/>
  <c r="BP14" i="2"/>
  <c r="BI38" i="2"/>
  <c r="BP23" i="2"/>
  <c r="V35" i="2" a="1"/>
  <c r="V35" i="2" s="1"/>
  <c r="BE35" i="2" s="1"/>
  <c r="BJ39" i="2"/>
  <c r="BJ23" i="2"/>
  <c r="BI23" i="2"/>
  <c r="BO18" i="2"/>
  <c r="BP40" i="2"/>
  <c r="BN33" i="2"/>
  <c r="BI27" i="2"/>
  <c r="BI12" i="2"/>
  <c r="BP26" i="2"/>
  <c r="BJ30" i="2"/>
  <c r="BJ20" i="2"/>
  <c r="BN40" i="2"/>
  <c r="BI37" i="2"/>
  <c r="BJ35" i="2"/>
  <c r="BO26" i="2"/>
  <c r="BQ24" i="2"/>
  <c r="BI21" i="2"/>
  <c r="BJ14" i="2"/>
  <c r="BN20" i="2"/>
  <c r="BO16" i="2"/>
  <c r="BJ12" i="2"/>
  <c r="BO31" i="2"/>
  <c r="BJ37" i="2"/>
  <c r="U26" i="2" a="1"/>
  <c r="U26" i="2" s="1"/>
  <c r="BD41" i="2" s="1"/>
  <c r="BN18" i="2"/>
  <c r="BN16" i="2"/>
  <c r="BO41" i="2"/>
  <c r="BO29" i="2"/>
  <c r="BN24" i="2"/>
  <c r="BN29" i="2"/>
  <c r="BO14" i="2"/>
  <c r="BO27" i="2"/>
  <c r="BN14" i="2"/>
  <c r="BB15" i="2"/>
  <c r="BB16" i="2"/>
  <c r="BN26" i="2"/>
  <c r="BO36" i="2"/>
  <c r="BN31" i="2"/>
  <c r="R35" i="2" a="1"/>
  <c r="R35" i="2" s="1"/>
  <c r="BA16" i="2" s="1"/>
  <c r="BA29" i="2"/>
  <c r="BA13" i="2"/>
  <c r="BB24" i="2"/>
  <c r="BN17" i="2"/>
  <c r="BO38" i="2"/>
  <c r="BN35" i="2"/>
  <c r="BO28" i="2"/>
  <c r="BN22" i="2"/>
  <c r="BO35" i="2"/>
  <c r="BN38" i="2"/>
  <c r="BN28" i="2"/>
  <c r="BP33" i="2"/>
  <c r="BB25" i="2"/>
  <c r="BP20" i="2"/>
  <c r="BP15" i="2"/>
  <c r="BP12" i="2"/>
  <c r="AZ35" i="2"/>
  <c r="AZ21" i="2"/>
  <c r="AZ24" i="2"/>
  <c r="AZ19" i="2"/>
  <c r="AZ37" i="2"/>
  <c r="AZ30" i="2"/>
  <c r="AZ29" i="2"/>
  <c r="AZ26" i="2"/>
  <c r="AZ38" i="2"/>
  <c r="AZ27" i="2"/>
  <c r="AZ23" i="2"/>
  <c r="AZ41" i="2"/>
  <c r="AZ36" i="2"/>
  <c r="AZ32" i="2"/>
  <c r="AZ15" i="2"/>
  <c r="AZ12" i="2"/>
  <c r="AZ13" i="2"/>
  <c r="AZ40" i="2"/>
  <c r="AZ34" i="2"/>
  <c r="AZ11" i="2"/>
  <c r="AZ28" i="2"/>
  <c r="AZ22" i="2"/>
  <c r="AZ14" i="2"/>
  <c r="AZ33" i="2"/>
  <c r="AZ39" i="2"/>
  <c r="AZ25" i="2"/>
  <c r="AZ17" i="2"/>
  <c r="AZ20" i="2"/>
  <c r="AZ18" i="2"/>
  <c r="AY31" i="2"/>
  <c r="AY25" i="2"/>
  <c r="AY33" i="2"/>
  <c r="AY28" i="2"/>
  <c r="AY21" i="2"/>
  <c r="AY36" i="2"/>
  <c r="AY23" i="2"/>
  <c r="AY38" i="2"/>
  <c r="AY41" i="2"/>
  <c r="AY26" i="2"/>
  <c r="AY17" i="2"/>
  <c r="AY35" i="2"/>
  <c r="AY20" i="2"/>
  <c r="AY24" i="2"/>
  <c r="AY29" i="2"/>
  <c r="AY13" i="2"/>
  <c r="AY37" i="2"/>
  <c r="AY30" i="2"/>
  <c r="AY32" i="2"/>
  <c r="AY39" i="2"/>
  <c r="AY14" i="2"/>
  <c r="AY18" i="2"/>
  <c r="AY15" i="2"/>
  <c r="AY12" i="2"/>
  <c r="AY22" i="2"/>
  <c r="AY11" i="2"/>
  <c r="AY27" i="2"/>
  <c r="AY40" i="2"/>
  <c r="AY19" i="2"/>
  <c r="AY16" i="2"/>
  <c r="AX19" i="2"/>
  <c r="AX33" i="2"/>
  <c r="AX18" i="2"/>
  <c r="AX17" i="2"/>
  <c r="AX15" i="2"/>
  <c r="AX31" i="2"/>
  <c r="AX35" i="2"/>
  <c r="AX28" i="2"/>
  <c r="AX32" i="2"/>
  <c r="AX34" i="2"/>
  <c r="AX20" i="2"/>
  <c r="AW13" i="2"/>
  <c r="AW36" i="2"/>
  <c r="AW18" i="2"/>
  <c r="AW28" i="2"/>
  <c r="AW14" i="2"/>
  <c r="AW24" i="2"/>
  <c r="AW16" i="2"/>
  <c r="AW20" i="2"/>
  <c r="AW23" i="2"/>
  <c r="AW17" i="2"/>
  <c r="AW39" i="2"/>
  <c r="AW15" i="2"/>
  <c r="AV34" i="2"/>
  <c r="AV40" i="2"/>
  <c r="AV33" i="2"/>
  <c r="AV29" i="2"/>
  <c r="AV26" i="2"/>
  <c r="AV28" i="2"/>
  <c r="AV23" i="2"/>
  <c r="AV16" i="2"/>
  <c r="AV31" i="2"/>
  <c r="AV22" i="2"/>
  <c r="AV21" i="2"/>
  <c r="AV35" i="2"/>
  <c r="AV24" i="2"/>
  <c r="AV38" i="2"/>
  <c r="AV25" i="2"/>
  <c r="AV12" i="2"/>
  <c r="AV13" i="2"/>
  <c r="AV19" i="2"/>
  <c r="AV20" i="2"/>
  <c r="AV41" i="2"/>
  <c r="AV11" i="2"/>
  <c r="AV36" i="2"/>
  <c r="AV32" i="2"/>
  <c r="AV14" i="2"/>
  <c r="AV15" i="2"/>
  <c r="AV39" i="2"/>
  <c r="AV17" i="2"/>
  <c r="AV18" i="2"/>
  <c r="AV37" i="2"/>
  <c r="AU41" i="2"/>
  <c r="AU32" i="2"/>
  <c r="AU31" i="2"/>
  <c r="AU34" i="2"/>
  <c r="AU23" i="2"/>
  <c r="AU20" i="2"/>
  <c r="AU13" i="2"/>
  <c r="AU35" i="2"/>
  <c r="AU30" i="2"/>
  <c r="AU33" i="2"/>
  <c r="AU29" i="2"/>
  <c r="AU26" i="2"/>
  <c r="AU28" i="2"/>
  <c r="AU27" i="2"/>
  <c r="AU36" i="2"/>
  <c r="AU17" i="2"/>
  <c r="AU12" i="2"/>
  <c r="AU39" i="2"/>
  <c r="AU40" i="2"/>
  <c r="AU22" i="2"/>
  <c r="AU37" i="2"/>
  <c r="AU14" i="2"/>
  <c r="AU15" i="2"/>
  <c r="AU16" i="2"/>
  <c r="AU38" i="2"/>
  <c r="AU18" i="2"/>
  <c r="AW40" i="2"/>
  <c r="AW34" i="2"/>
  <c r="AU21" i="2"/>
  <c r="AW29" i="2"/>
  <c r="AU11" i="2"/>
  <c r="AW41" i="2"/>
  <c r="AU19" i="2"/>
  <c r="AW22" i="2"/>
  <c r="AW35" i="2"/>
  <c r="AU24" i="2"/>
  <c r="AW19" i="2"/>
  <c r="AT27" i="2"/>
  <c r="AT40" i="2"/>
  <c r="AT20" i="2"/>
  <c r="AT31" i="2"/>
  <c r="AT24" i="2"/>
  <c r="AT39" i="2"/>
  <c r="AT19" i="2"/>
  <c r="AT30" i="2"/>
  <c r="AT25" i="2"/>
  <c r="AT26" i="2"/>
  <c r="AT17" i="2"/>
  <c r="AT15" i="2"/>
  <c r="AT41" i="2"/>
  <c r="AT37" i="2"/>
  <c r="AT33" i="2"/>
  <c r="AT29" i="2"/>
  <c r="AT28" i="2"/>
  <c r="AS38" i="2"/>
  <c r="AS27" i="2"/>
  <c r="AS35" i="2"/>
  <c r="AS34" i="2"/>
  <c r="AS23" i="2"/>
  <c r="AS31" i="2"/>
  <c r="AS29" i="2"/>
  <c r="AS26" i="2"/>
  <c r="AS25" i="2"/>
  <c r="AS12" i="2"/>
  <c r="AS30" i="2"/>
  <c r="AS28" i="2"/>
  <c r="AS40" i="2"/>
  <c r="AS17" i="2"/>
  <c r="AS33" i="2"/>
  <c r="AS32" i="2"/>
  <c r="AS24" i="2"/>
  <c r="AS20" i="2"/>
  <c r="AS16" i="2"/>
  <c r="AS19" i="2"/>
  <c r="AS21" i="2"/>
  <c r="AS39" i="2"/>
  <c r="AS15" i="2"/>
  <c r="AS18" i="2"/>
  <c r="AR25" i="2"/>
  <c r="AR20" i="2"/>
  <c r="AR26" i="2"/>
  <c r="AR30" i="2"/>
  <c r="AR31" i="2"/>
  <c r="AR13" i="2"/>
  <c r="AX16" i="2"/>
  <c r="AX30" i="2"/>
  <c r="AR27" i="2"/>
  <c r="BI39" i="2"/>
  <c r="AX29" i="2"/>
  <c r="BE24" i="2"/>
  <c r="BI22" i="2"/>
  <c r="BJ21" i="2"/>
  <c r="AX27" i="2"/>
  <c r="AR41" i="2"/>
  <c r="AX14" i="2"/>
  <c r="AX26" i="2"/>
  <c r="AX13" i="2"/>
  <c r="AX25" i="2"/>
  <c r="H29" i="2" a="1"/>
  <c r="H29" i="2" s="1"/>
  <c r="BI20" i="2"/>
  <c r="AR15" i="2"/>
  <c r="AX12" i="2"/>
  <c r="BI35" i="2"/>
  <c r="AR23" i="2"/>
  <c r="BJ19" i="2"/>
  <c r="AW12" i="2"/>
  <c r="AX41" i="2"/>
  <c r="BH35" i="2"/>
  <c r="BJ34" i="2"/>
  <c r="AX24" i="2"/>
  <c r="BI31" i="2"/>
  <c r="BJ15" i="2"/>
  <c r="AW38" i="2"/>
  <c r="BB35" i="2"/>
  <c r="BI30" i="2"/>
  <c r="BJ29" i="2"/>
  <c r="AR38" i="2"/>
  <c r="AR37" i="2"/>
  <c r="BI17" i="2"/>
  <c r="BI32" i="2"/>
  <c r="AX21" i="2"/>
  <c r="H24" i="2" a="1"/>
  <c r="H24" i="2" s="1"/>
  <c r="BH17" i="2"/>
  <c r="AR40" i="2"/>
  <c r="BI15" i="2"/>
  <c r="AX37" i="2"/>
  <c r="BI29" i="2"/>
  <c r="BJ28" i="2"/>
  <c r="BK27" i="2"/>
  <c r="AR21" i="2"/>
  <c r="AX39" i="2"/>
  <c r="AR36" i="2"/>
  <c r="AR35" i="2"/>
  <c r="AX11" i="2"/>
  <c r="BL14" i="2"/>
  <c r="BM13" i="2"/>
  <c r="AW37" i="2"/>
  <c r="AX36" i="2"/>
  <c r="BI28" i="2"/>
  <c r="BJ27" i="2"/>
  <c r="BL26" i="2"/>
  <c r="BM25" i="2"/>
  <c r="AX40" i="2"/>
  <c r="AX23" i="2"/>
  <c r="AR22" i="2"/>
  <c r="AX22" i="2"/>
  <c r="BI16" i="2"/>
  <c r="AX38" i="2"/>
  <c r="AW11" i="2"/>
  <c r="BK14" i="2"/>
  <c r="BL13" i="2"/>
  <c r="BM12" i="2"/>
  <c r="BB13" i="2"/>
  <c r="BB22" i="2"/>
  <c r="BB12" i="2"/>
  <c r="BB41" i="2"/>
  <c r="BB31" i="2"/>
  <c r="BB20" i="2"/>
  <c r="BB40" i="2"/>
  <c r="BB30" i="2"/>
  <c r="BB29" i="2"/>
  <c r="BB19" i="2"/>
  <c r="BB39" i="2"/>
  <c r="BB28" i="2"/>
  <c r="BB18" i="2"/>
  <c r="BB38" i="2"/>
  <c r="BB27" i="2"/>
  <c r="BB17" i="2"/>
  <c r="BB34" i="2"/>
  <c r="BB23" i="2"/>
  <c r="BB14" i="2"/>
  <c r="BB33" i="2"/>
  <c r="BB32" i="2"/>
  <c r="BB21" i="2"/>
  <c r="BB11" i="2"/>
  <c r="BB37" i="2"/>
  <c r="BB26" i="2"/>
  <c r="G23" i="2" a="1"/>
  <c r="G23" i="2" s="1"/>
  <c r="AP22" i="2" s="1"/>
  <c r="BB36" i="2"/>
  <c r="AC19" i="3"/>
  <c r="AG25" i="3"/>
  <c r="AG21" i="3"/>
  <c r="AG16" i="3"/>
  <c r="AG19" i="3"/>
  <c r="AD24" i="3"/>
  <c r="AD22" i="3"/>
  <c r="AG11" i="3"/>
  <c r="AG24" i="3"/>
  <c r="AG22" i="3"/>
  <c r="AF26" i="3"/>
  <c r="AG17" i="3"/>
  <c r="AG26" i="3"/>
  <c r="AI20" i="3"/>
  <c r="AB11" i="3"/>
  <c r="AB26" i="3"/>
  <c r="AB12" i="3"/>
  <c r="AB25" i="3"/>
  <c r="AF22" i="3"/>
  <c r="AB14" i="3"/>
  <c r="AF12" i="3"/>
  <c r="AB23" i="3"/>
  <c r="AB20" i="3"/>
  <c r="AC23" i="3"/>
  <c r="AB24" i="3"/>
  <c r="AC21" i="3"/>
  <c r="AA14" i="3"/>
  <c r="AF24" i="3"/>
  <c r="AL24" i="3"/>
  <c r="AF20" i="3"/>
  <c r="AF14" i="3"/>
  <c r="AB17" i="3"/>
  <c r="AG20" i="3"/>
  <c r="AF25" i="3"/>
  <c r="AB21" i="3"/>
  <c r="AC24" i="3"/>
  <c r="AF21" i="3"/>
  <c r="AF13" i="3"/>
  <c r="AF15" i="3"/>
  <c r="AB22" i="3"/>
  <c r="AB19" i="3"/>
  <c r="AF19" i="3"/>
  <c r="AB18" i="3"/>
  <c r="AF18" i="3"/>
  <c r="AB15" i="3"/>
  <c r="AC22" i="3"/>
  <c r="AE16" i="3"/>
  <c r="AE17" i="3"/>
  <c r="AE12" i="3"/>
  <c r="AE13" i="3"/>
  <c r="AE11" i="3"/>
  <c r="AE14" i="3"/>
  <c r="AE15" i="3"/>
  <c r="AH21" i="3"/>
  <c r="AA23" i="3"/>
  <c r="AH24" i="3"/>
  <c r="AA20" i="3"/>
  <c r="AJ12" i="3"/>
  <c r="AJ13" i="3"/>
  <c r="AJ15" i="3"/>
  <c r="AJ19" i="3"/>
  <c r="AJ17" i="3"/>
  <c r="AJ20" i="3"/>
  <c r="AJ18" i="3"/>
  <c r="AJ21" i="3"/>
  <c r="AJ11" i="3"/>
  <c r="AJ14" i="3"/>
  <c r="AJ16" i="3"/>
  <c r="AJ24" i="3"/>
  <c r="AE23" i="3"/>
  <c r="AE24" i="3"/>
  <c r="AH17" i="3"/>
  <c r="AH19" i="3"/>
  <c r="AH11" i="3"/>
  <c r="AH16" i="3"/>
  <c r="AM13" i="3"/>
  <c r="AM24" i="3"/>
  <c r="AM22" i="3"/>
  <c r="AM26" i="3"/>
  <c r="AM17" i="3"/>
  <c r="AM20" i="3"/>
  <c r="AM18" i="3"/>
  <c r="AM21" i="3"/>
  <c r="AM11" i="3"/>
  <c r="AM15" i="3"/>
  <c r="AM16" i="3"/>
  <c r="AM23" i="3"/>
  <c r="AM14" i="3"/>
  <c r="AM12" i="3"/>
  <c r="AH23" i="3"/>
  <c r="AA25" i="3"/>
  <c r="AA19" i="3"/>
  <c r="AE21" i="3"/>
  <c r="AE22" i="3"/>
  <c r="AD21" i="3"/>
  <c r="AK14" i="3"/>
  <c r="AE18" i="3"/>
  <c r="AH26" i="3"/>
  <c r="AA13" i="3"/>
  <c r="AA16" i="3"/>
  <c r="AH20" i="3"/>
  <c r="AC17" i="3"/>
  <c r="AJ25" i="3"/>
  <c r="AC20" i="3"/>
  <c r="AJ22" i="3"/>
  <c r="AE20" i="3"/>
  <c r="AJ23" i="3"/>
  <c r="AE26" i="3"/>
  <c r="AA17" i="3"/>
  <c r="AB16" i="3"/>
  <c r="AK25" i="3"/>
  <c r="AB13" i="3"/>
  <c r="AC16" i="3"/>
  <c r="AK26" i="3"/>
  <c r="AP17" i="3"/>
  <c r="AE19" i="3"/>
  <c r="AD20" i="3"/>
  <c r="AK24" i="3"/>
  <c r="AK21" i="3"/>
  <c r="AI13" i="3"/>
  <c r="AF17" i="3"/>
  <c r="AA26" i="3"/>
  <c r="AJ26" i="3"/>
  <c r="AM25" i="3"/>
  <c r="AF16" i="3"/>
  <c r="AA22" i="3"/>
  <c r="AO22" i="3"/>
  <c r="AO25" i="3"/>
  <c r="AO15" i="3"/>
  <c r="AO13" i="3"/>
  <c r="AO21" i="3"/>
  <c r="AO18" i="3"/>
  <c r="AO24" i="3"/>
  <c r="AO19" i="3"/>
  <c r="AO11" i="3"/>
  <c r="AO23" i="3"/>
  <c r="AO16" i="3"/>
  <c r="AO12" i="3"/>
  <c r="AO14" i="3"/>
  <c r="AO20" i="3"/>
  <c r="AO26" i="3"/>
  <c r="AO17" i="3"/>
  <c r="AN25" i="3"/>
  <c r="AN15" i="3"/>
  <c r="AN21" i="3"/>
  <c r="AN18" i="3"/>
  <c r="AN26" i="3"/>
  <c r="AN23" i="3"/>
  <c r="AN19" i="3"/>
  <c r="AN11" i="3"/>
  <c r="AN24" i="3"/>
  <c r="AN16" i="3"/>
  <c r="AN12" i="3"/>
  <c r="AN14" i="3"/>
  <c r="AN13" i="3"/>
  <c r="AN20" i="3"/>
  <c r="AC15" i="3"/>
  <c r="AD14" i="3"/>
  <c r="AD13" i="3"/>
  <c r="AD11" i="3"/>
  <c r="AD23" i="3"/>
  <c r="AD12" i="3"/>
  <c r="AD15" i="3"/>
  <c r="AN17" i="3"/>
  <c r="AD26" i="3"/>
  <c r="AL12" i="3"/>
  <c r="AL18" i="3"/>
  <c r="AL16" i="3"/>
  <c r="AL13" i="3"/>
  <c r="AL11" i="3"/>
  <c r="AL22" i="3"/>
  <c r="AL15" i="3"/>
  <c r="AL17" i="3"/>
  <c r="AL21" i="3"/>
  <c r="AL23" i="3"/>
  <c r="AL14" i="3"/>
  <c r="AL20" i="3"/>
  <c r="AC14" i="3"/>
  <c r="AC13" i="3"/>
  <c r="AC12" i="3"/>
  <c r="AC11" i="3"/>
  <c r="AP22" i="3"/>
  <c r="AP15" i="3"/>
  <c r="AP19" i="3"/>
  <c r="AP21" i="3"/>
  <c r="AP18" i="3"/>
  <c r="AP11" i="3"/>
  <c r="AP23" i="3"/>
  <c r="AP24" i="3"/>
  <c r="AP25" i="3"/>
  <c r="AP12" i="3"/>
  <c r="AP14" i="3"/>
  <c r="AP13" i="3"/>
  <c r="AP26" i="3"/>
  <c r="AP20" i="3"/>
  <c r="AC26" i="3"/>
  <c r="AN22" i="3"/>
  <c r="AD16" i="3"/>
  <c r="AA11" i="3"/>
  <c r="AL25" i="3"/>
  <c r="AA12" i="3"/>
  <c r="AA18" i="3"/>
  <c r="AA15" i="3"/>
  <c r="AD17" i="3"/>
  <c r="AC18" i="3"/>
  <c r="AD18" i="3"/>
  <c r="AD19" i="3"/>
  <c r="AA21" i="3"/>
  <c r="AC25" i="3"/>
  <c r="AG15" i="3"/>
  <c r="AG13" i="3"/>
  <c r="AG18" i="3"/>
  <c r="AG12" i="3"/>
  <c r="AD25" i="3"/>
  <c r="AH14" i="3"/>
  <c r="AH15" i="3"/>
  <c r="AH13" i="3"/>
  <c r="AH18" i="3"/>
  <c r="AH12" i="3"/>
  <c r="AH22" i="3"/>
  <c r="AK12" i="3"/>
  <c r="AK17" i="3"/>
  <c r="AK18" i="3"/>
  <c r="AK20" i="3"/>
  <c r="AK16" i="3"/>
  <c r="AK13" i="3"/>
  <c r="AK22" i="3"/>
  <c r="AK15" i="3"/>
  <c r="AK11" i="3"/>
  <c r="AA24" i="3"/>
  <c r="AL26" i="3"/>
  <c r="AG23" i="3"/>
  <c r="AR28" i="2"/>
  <c r="AR33" i="2"/>
  <c r="AR18" i="2"/>
  <c r="AR29" i="2"/>
  <c r="AR24" i="2"/>
  <c r="AR34" i="2"/>
  <c r="AR14" i="2"/>
  <c r="AR39" i="2"/>
  <c r="AR19" i="2"/>
  <c r="AR32" i="2"/>
  <c r="AR17" i="2"/>
  <c r="AR11" i="2"/>
  <c r="AR12" i="2"/>
  <c r="AR16" i="2"/>
  <c r="AT32" i="2"/>
  <c r="AT35" i="2"/>
  <c r="AT11" i="2"/>
  <c r="AT14" i="2"/>
  <c r="AT22" i="2"/>
  <c r="AT12" i="2"/>
  <c r="AT16" i="2"/>
  <c r="AT36" i="2"/>
  <c r="AT18" i="2"/>
  <c r="AT34" i="2"/>
  <c r="AT21" i="2"/>
  <c r="AT23" i="2"/>
  <c r="AT13" i="2"/>
  <c r="AS22" i="2"/>
  <c r="AS11" i="2"/>
  <c r="AS36" i="2"/>
  <c r="AS41" i="2"/>
  <c r="AS37" i="2"/>
  <c r="AS14" i="2"/>
  <c r="AS13" i="2"/>
  <c r="F24" i="57" l="1"/>
  <c r="M24" i="57" s="1"/>
  <c r="F12" i="57"/>
  <c r="M12" i="57" s="1"/>
  <c r="P35" i="57"/>
  <c r="F23" i="57"/>
  <c r="M23" i="57" s="1"/>
  <c r="F13" i="57"/>
  <c r="M13" i="57" s="1"/>
  <c r="F14" i="57"/>
  <c r="M14" i="57" s="1"/>
  <c r="F21" i="57"/>
  <c r="M21" i="57" s="1"/>
  <c r="F35" i="57"/>
  <c r="M35" i="57" s="1"/>
  <c r="F38" i="57"/>
  <c r="M38" i="57" s="1"/>
  <c r="F37" i="57"/>
  <c r="M37" i="57" s="1"/>
  <c r="F22" i="57"/>
  <c r="M22" i="57" s="1"/>
  <c r="F36" i="57"/>
  <c r="M36" i="57" s="1"/>
  <c r="F33" i="52"/>
  <c r="F28" i="56"/>
  <c r="P28" i="56" s="1"/>
  <c r="F29" i="56"/>
  <c r="P29" i="56" s="1"/>
  <c r="F42" i="56"/>
  <c r="P42" i="56" s="1"/>
  <c r="F45" i="56"/>
  <c r="P45" i="56" s="1"/>
  <c r="F43" i="56"/>
  <c r="P43" i="56" s="1"/>
  <c r="F44" i="56"/>
  <c r="P44" i="56" s="1"/>
  <c r="F47" i="56"/>
  <c r="P47" i="56" s="1"/>
  <c r="F46" i="56"/>
  <c r="P46" i="56" s="1"/>
  <c r="F30" i="56"/>
  <c r="P30" i="56" s="1"/>
  <c r="F25" i="56"/>
  <c r="P25" i="56" s="1"/>
  <c r="F27" i="56"/>
  <c r="P27" i="56" s="1"/>
  <c r="F26" i="56"/>
  <c r="P26" i="56" s="1"/>
  <c r="F24" i="56"/>
  <c r="U13" i="56"/>
  <c r="T15" i="56"/>
  <c r="U11" i="56"/>
  <c r="T16" i="56"/>
  <c r="U14" i="56"/>
  <c r="T12" i="56"/>
  <c r="S14" i="56"/>
  <c r="R11" i="56"/>
  <c r="T13" i="56"/>
  <c r="U17" i="56"/>
  <c r="R17" i="56"/>
  <c r="T17" i="56"/>
  <c r="U15" i="56"/>
  <c r="R16" i="56"/>
  <c r="S15" i="56"/>
  <c r="S12" i="56"/>
  <c r="R13" i="56"/>
  <c r="W16" i="56"/>
  <c r="W11" i="56"/>
  <c r="T14" i="56"/>
  <c r="T11" i="56"/>
  <c r="U16" i="56"/>
  <c r="U12" i="56"/>
  <c r="S16" i="56"/>
  <c r="S13" i="56"/>
  <c r="S11" i="56"/>
  <c r="R14" i="56"/>
  <c r="R12" i="56"/>
  <c r="S17" i="56"/>
  <c r="W12" i="56"/>
  <c r="R15" i="56"/>
  <c r="F32" i="52"/>
  <c r="B61" i="54" s="1"/>
  <c r="F36" i="52"/>
  <c r="F38" i="52"/>
  <c r="F35" i="52"/>
  <c r="F37" i="52"/>
  <c r="F34" i="52"/>
  <c r="R22" i="52"/>
  <c r="R23" i="52"/>
  <c r="V22" i="52"/>
  <c r="V27" i="52"/>
  <c r="V25" i="52"/>
  <c r="V23" i="52"/>
  <c r="V26" i="52"/>
  <c r="R27" i="52"/>
  <c r="R25" i="52"/>
  <c r="R26" i="52"/>
  <c r="R24" i="52"/>
  <c r="F24" i="52" s="1"/>
  <c r="V12" i="52"/>
  <c r="T13" i="52"/>
  <c r="T12" i="52"/>
  <c r="T14" i="52"/>
  <c r="T11" i="52"/>
  <c r="R16" i="52"/>
  <c r="V14" i="52"/>
  <c r="V15" i="52"/>
  <c r="R15" i="52"/>
  <c r="V13" i="52"/>
  <c r="V16" i="52"/>
  <c r="R13" i="52"/>
  <c r="R14" i="52"/>
  <c r="T16" i="52"/>
  <c r="T15" i="52"/>
  <c r="R11" i="52"/>
  <c r="R12" i="52"/>
  <c r="S14" i="52"/>
  <c r="F25" i="3"/>
  <c r="F19" i="3"/>
  <c r="F21" i="3"/>
  <c r="BF30" i="2"/>
  <c r="BF16" i="2"/>
  <c r="AQ39" i="2"/>
  <c r="BC39" i="2"/>
  <c r="BC20" i="2"/>
  <c r="BC19" i="2"/>
  <c r="BC22" i="2"/>
  <c r="BC36" i="2"/>
  <c r="BC40" i="2"/>
  <c r="BC38" i="2"/>
  <c r="BC27" i="2"/>
  <c r="BC24" i="2"/>
  <c r="BC26" i="2"/>
  <c r="BC29" i="2"/>
  <c r="BC30" i="2"/>
  <c r="BC12" i="2"/>
  <c r="BC32" i="2"/>
  <c r="BC31" i="2"/>
  <c r="BC14" i="2"/>
  <c r="BC16" i="2"/>
  <c r="AQ30" i="2"/>
  <c r="BE11" i="2"/>
  <c r="BH29" i="2"/>
  <c r="BG41" i="2"/>
  <c r="BC41" i="2"/>
  <c r="BC13" i="2"/>
  <c r="BR23" i="2"/>
  <c r="BR37" i="2"/>
  <c r="AQ12" i="2"/>
  <c r="BR26" i="2"/>
  <c r="AQ36" i="2"/>
  <c r="BC11" i="2"/>
  <c r="BF18" i="2"/>
  <c r="BR15" i="2"/>
  <c r="AQ41" i="2"/>
  <c r="BC28" i="2"/>
  <c r="BH25" i="2"/>
  <c r="BK30" i="2"/>
  <c r="BR28" i="2"/>
  <c r="BF12" i="2"/>
  <c r="BH39" i="2"/>
  <c r="BR38" i="2"/>
  <c r="AQ34" i="2"/>
  <c r="BR41" i="2"/>
  <c r="AQ17" i="2"/>
  <c r="BR19" i="2"/>
  <c r="BA22" i="2"/>
  <c r="AQ19" i="2"/>
  <c r="BE31" i="2"/>
  <c r="BF21" i="2"/>
  <c r="BR11" i="2"/>
  <c r="BR31" i="2"/>
  <c r="BH13" i="2"/>
  <c r="BC37" i="2"/>
  <c r="BR40" i="2"/>
  <c r="BA23" i="2"/>
  <c r="AQ23" i="2"/>
  <c r="BC35" i="2"/>
  <c r="BC17" i="2"/>
  <c r="BR12" i="2"/>
  <c r="BC33" i="2"/>
  <c r="AQ27" i="2"/>
  <c r="BE27" i="2"/>
  <c r="BF13" i="2"/>
  <c r="BR13" i="2"/>
  <c r="BR18" i="2"/>
  <c r="BC15" i="2"/>
  <c r="BR33" i="2"/>
  <c r="BR20" i="2"/>
  <c r="BR14" i="2"/>
  <c r="AQ25" i="2"/>
  <c r="BR16" i="2"/>
  <c r="BC18" i="2"/>
  <c r="BC25" i="2"/>
  <c r="BC23" i="2"/>
  <c r="BF11" i="2"/>
  <c r="BC21" i="2"/>
  <c r="BE33" i="2"/>
  <c r="BK22" i="2"/>
  <c r="BF28" i="2"/>
  <c r="BR17" i="2"/>
  <c r="BK19" i="2"/>
  <c r="BK39" i="2"/>
  <c r="BK15" i="2"/>
  <c r="BK25" i="2"/>
  <c r="BK11" i="2"/>
  <c r="BK20" i="2"/>
  <c r="BK31" i="2"/>
  <c r="BK28" i="2"/>
  <c r="BK16" i="2"/>
  <c r="BK21" i="2"/>
  <c r="BK26" i="2"/>
  <c r="BK37" i="2"/>
  <c r="BK35" i="2"/>
  <c r="BK12" i="2"/>
  <c r="BK18" i="2"/>
  <c r="BH20" i="2"/>
  <c r="BH34" i="2"/>
  <c r="BH32" i="2"/>
  <c r="BH41" i="2"/>
  <c r="BH36" i="2"/>
  <c r="BH15" i="2"/>
  <c r="BH18" i="2"/>
  <c r="BH12" i="2"/>
  <c r="BH27" i="2"/>
  <c r="BH11" i="2"/>
  <c r="BH38" i="2"/>
  <c r="BH33" i="2"/>
  <c r="BH31" i="2"/>
  <c r="BH40" i="2"/>
  <c r="BH22" i="2"/>
  <c r="BH19" i="2"/>
  <c r="BH37" i="2"/>
  <c r="BH30" i="2"/>
  <c r="BH16" i="2"/>
  <c r="BH14" i="2"/>
  <c r="BH28" i="2"/>
  <c r="BH21" i="2"/>
  <c r="BH24" i="2"/>
  <c r="BH23" i="2"/>
  <c r="BG16" i="2"/>
  <c r="BG15" i="2"/>
  <c r="BG12" i="2"/>
  <c r="BG34" i="2"/>
  <c r="BG11" i="2"/>
  <c r="BG19" i="2"/>
  <c r="BG23" i="2"/>
  <c r="BG25" i="2"/>
  <c r="BG30" i="2"/>
  <c r="BG38" i="2"/>
  <c r="BG36" i="2"/>
  <c r="BG14" i="2"/>
  <c r="BG18" i="2"/>
  <c r="BG37" i="2"/>
  <c r="BG39" i="2"/>
  <c r="BG33" i="2"/>
  <c r="BG13" i="2"/>
  <c r="BG29" i="2"/>
  <c r="BG40" i="2"/>
  <c r="BG28" i="2"/>
  <c r="BG24" i="2"/>
  <c r="BG22" i="2"/>
  <c r="BG26" i="2"/>
  <c r="BG20" i="2"/>
  <c r="BG17" i="2"/>
  <c r="BG21" i="2"/>
  <c r="BG32" i="2"/>
  <c r="BG27" i="2"/>
  <c r="BG35" i="2"/>
  <c r="BF23" i="2"/>
  <c r="BF37" i="2"/>
  <c r="BF33" i="2"/>
  <c r="BF24" i="2"/>
  <c r="BF22" i="2"/>
  <c r="BF26" i="2"/>
  <c r="BF39" i="2"/>
  <c r="BF34" i="2"/>
  <c r="BF17" i="2"/>
  <c r="BF20" i="2"/>
  <c r="BF27" i="2"/>
  <c r="BF35" i="2"/>
  <c r="BF32" i="2"/>
  <c r="BF31" i="2"/>
  <c r="BF36" i="2"/>
  <c r="BF15" i="2"/>
  <c r="BF25" i="2"/>
  <c r="BF41" i="2"/>
  <c r="BF40" i="2"/>
  <c r="BF38" i="2"/>
  <c r="BF29" i="2"/>
  <c r="BF14" i="2"/>
  <c r="BE32" i="2"/>
  <c r="BE41" i="2"/>
  <c r="BE19" i="2"/>
  <c r="BE22" i="2"/>
  <c r="BE18" i="2"/>
  <c r="BE12" i="2"/>
  <c r="BE21" i="2"/>
  <c r="BE16" i="2"/>
  <c r="BE37" i="2"/>
  <c r="BE20" i="2"/>
  <c r="BE14" i="2"/>
  <c r="BE26" i="2"/>
  <c r="BE34" i="2"/>
  <c r="BE28" i="2"/>
  <c r="BE39" i="2"/>
  <c r="BE17" i="2"/>
  <c r="BE30" i="2"/>
  <c r="BE38" i="2"/>
  <c r="BE13" i="2"/>
  <c r="BE36" i="2"/>
  <c r="BE15" i="2"/>
  <c r="BE40" i="2"/>
  <c r="BE29" i="2"/>
  <c r="BE23" i="2"/>
  <c r="BE25" i="2"/>
  <c r="BD20" i="2"/>
  <c r="BD32" i="2"/>
  <c r="BD29" i="2"/>
  <c r="BD24" i="2"/>
  <c r="BD37" i="2"/>
  <c r="BD28" i="2"/>
  <c r="BD22" i="2"/>
  <c r="BD16" i="2"/>
  <c r="BD33" i="2"/>
  <c r="BD34" i="2"/>
  <c r="BD25" i="2"/>
  <c r="BD17" i="2"/>
  <c r="BD23" i="2"/>
  <c r="BD12" i="2"/>
  <c r="BD15" i="2"/>
  <c r="BD11" i="2"/>
  <c r="BD19" i="2"/>
  <c r="BD38" i="2"/>
  <c r="BD40" i="2"/>
  <c r="BD30" i="2"/>
  <c r="BD21" i="2"/>
  <c r="BD14" i="2"/>
  <c r="BD39" i="2"/>
  <c r="BD13" i="2"/>
  <c r="BD26" i="2"/>
  <c r="BD18" i="2"/>
  <c r="BD36" i="2"/>
  <c r="BD31" i="2"/>
  <c r="BD35" i="2"/>
  <c r="BD27" i="2"/>
  <c r="BA37" i="2"/>
  <c r="BA20" i="2"/>
  <c r="BA12" i="2"/>
  <c r="BA40" i="2"/>
  <c r="BA38" i="2"/>
  <c r="BA24" i="2"/>
  <c r="BA39" i="2"/>
  <c r="BA14" i="2"/>
  <c r="BA17" i="2"/>
  <c r="BA28" i="2"/>
  <c r="BA33" i="2"/>
  <c r="BA15" i="2"/>
  <c r="BA31" i="2"/>
  <c r="BA11" i="2"/>
  <c r="BA30" i="2"/>
  <c r="BA21" i="2"/>
  <c r="BA34" i="2"/>
  <c r="BA41" i="2"/>
  <c r="BA26" i="2"/>
  <c r="BA35" i="2"/>
  <c r="BA25" i="2"/>
  <c r="BA32" i="2"/>
  <c r="BA36" i="2"/>
  <c r="BA27" i="2"/>
  <c r="BA19" i="2"/>
  <c r="BA18" i="2"/>
  <c r="AQ20" i="2"/>
  <c r="AQ38" i="2"/>
  <c r="AQ21" i="2"/>
  <c r="AQ13" i="2"/>
  <c r="AQ26" i="2"/>
  <c r="AQ14" i="2"/>
  <c r="AQ29" i="2"/>
  <c r="AQ31" i="2"/>
  <c r="AQ35" i="2"/>
  <c r="AQ28" i="2"/>
  <c r="AQ40" i="2"/>
  <c r="AQ11" i="2"/>
  <c r="AQ37" i="2"/>
  <c r="AQ22" i="2"/>
  <c r="AQ24" i="2"/>
  <c r="AQ18" i="2"/>
  <c r="AQ15" i="2"/>
  <c r="AQ32" i="2"/>
  <c r="AQ16" i="2"/>
  <c r="AQ33" i="2"/>
  <c r="AP28" i="2"/>
  <c r="AP12" i="2"/>
  <c r="AP31" i="2"/>
  <c r="AP34" i="2"/>
  <c r="AP16" i="2"/>
  <c r="AP17" i="2"/>
  <c r="AP37" i="2"/>
  <c r="AP18" i="2"/>
  <c r="AP38" i="2"/>
  <c r="AP39" i="2"/>
  <c r="AP40" i="2"/>
  <c r="AP21" i="2"/>
  <c r="AP23" i="2"/>
  <c r="AP25" i="2"/>
  <c r="AP13" i="2"/>
  <c r="AP11" i="2"/>
  <c r="AP35" i="2"/>
  <c r="AP24" i="2"/>
  <c r="AP33" i="2"/>
  <c r="AP36" i="2"/>
  <c r="AP19" i="2"/>
  <c r="AP20" i="2"/>
  <c r="AP41" i="2"/>
  <c r="AP14" i="2"/>
  <c r="AP26" i="2"/>
  <c r="AP15" i="2"/>
  <c r="AP29" i="2"/>
  <c r="AP30" i="2"/>
  <c r="AP27" i="2"/>
  <c r="AP32" i="2"/>
  <c r="F13" i="3"/>
  <c r="F20" i="3"/>
  <c r="F11" i="3"/>
  <c r="F23" i="3"/>
  <c r="F22" i="3"/>
  <c r="F16" i="3"/>
  <c r="F26" i="3"/>
  <c r="F14" i="3"/>
  <c r="F12" i="3"/>
  <c r="F24" i="3"/>
  <c r="F17" i="3"/>
  <c r="F15" i="3"/>
  <c r="F18" i="3"/>
  <c r="F39" i="57" l="1"/>
  <c r="F15" i="57"/>
  <c r="F25" i="57"/>
  <c r="P24" i="52"/>
  <c r="D26" i="54"/>
  <c r="P38" i="52"/>
  <c r="H61" i="54"/>
  <c r="P32" i="52"/>
  <c r="P34" i="52"/>
  <c r="D61" i="54"/>
  <c r="P36" i="52"/>
  <c r="F61" i="54"/>
  <c r="P37" i="52"/>
  <c r="G61" i="54"/>
  <c r="P35" i="52"/>
  <c r="E61" i="54"/>
  <c r="P33" i="52"/>
  <c r="C61" i="54"/>
  <c r="I71" i="54" s="1"/>
  <c r="F41" i="56"/>
  <c r="F48" i="56" s="1"/>
  <c r="F31" i="56"/>
  <c r="P24" i="56"/>
  <c r="F15" i="56"/>
  <c r="P15" i="56" s="1"/>
  <c r="F13" i="56"/>
  <c r="P13" i="56" s="1"/>
  <c r="F16" i="56"/>
  <c r="P16" i="56" s="1"/>
  <c r="F11" i="56"/>
  <c r="F12" i="56"/>
  <c r="P12" i="56" s="1"/>
  <c r="F17" i="56"/>
  <c r="P17" i="56" s="1"/>
  <c r="F14" i="56"/>
  <c r="P14" i="56" s="1"/>
  <c r="F39" i="52"/>
  <c r="F26" i="52"/>
  <c r="F25" i="52"/>
  <c r="F27" i="52"/>
  <c r="F23" i="52"/>
  <c r="F22" i="52"/>
  <c r="B26" i="54" s="1"/>
  <c r="F15" i="52"/>
  <c r="F11" i="52"/>
  <c r="F13" i="52"/>
  <c r="F14" i="52"/>
  <c r="F12" i="52"/>
  <c r="F16" i="52"/>
  <c r="B17" i="51"/>
  <c r="Y11" i="3"/>
  <c r="B7" i="51"/>
  <c r="Y20" i="3"/>
  <c r="B2" i="51"/>
  <c r="Y26" i="3"/>
  <c r="B6" i="51"/>
  <c r="Y16" i="3"/>
  <c r="B5" i="51"/>
  <c r="Y22" i="3"/>
  <c r="Y23" i="3"/>
  <c r="B9" i="51"/>
  <c r="B16" i="51"/>
  <c r="Y13" i="3"/>
  <c r="B10" i="51"/>
  <c r="Y18" i="3"/>
  <c r="B12" i="51"/>
  <c r="Y15" i="3"/>
  <c r="B8" i="51"/>
  <c r="Y17" i="3"/>
  <c r="Y24" i="3"/>
  <c r="B4" i="51"/>
  <c r="B14" i="51"/>
  <c r="Y21" i="3"/>
  <c r="B11" i="51"/>
  <c r="Y12" i="3"/>
  <c r="Y19" i="3"/>
  <c r="B13" i="51"/>
  <c r="B15" i="51"/>
  <c r="Y14" i="3"/>
  <c r="B3" i="51"/>
  <c r="Y25" i="3"/>
  <c r="F27" i="3"/>
  <c r="F22" i="2"/>
  <c r="I28" i="4" s="1"/>
  <c r="F41" i="2"/>
  <c r="I31" i="4" s="1"/>
  <c r="F23" i="2"/>
  <c r="I5" i="4" s="1"/>
  <c r="F20" i="2"/>
  <c r="I21" i="4" s="1"/>
  <c r="F29" i="2"/>
  <c r="I16" i="4" s="1"/>
  <c r="F26" i="2"/>
  <c r="I27" i="4" s="1"/>
  <c r="F13" i="2"/>
  <c r="I26" i="4" s="1"/>
  <c r="F12" i="2"/>
  <c r="I15" i="4" s="1"/>
  <c r="F28" i="2"/>
  <c r="I4" i="4" s="1"/>
  <c r="F14" i="2"/>
  <c r="I14" i="4" s="1"/>
  <c r="F39" i="2"/>
  <c r="I33" i="4" s="1"/>
  <c r="F38" i="2"/>
  <c r="I29" i="4" s="1"/>
  <c r="F15" i="2"/>
  <c r="I13" i="4" s="1"/>
  <c r="F19" i="2"/>
  <c r="I20" i="4" s="1"/>
  <c r="F35" i="2"/>
  <c r="I10" i="4" s="1"/>
  <c r="F25" i="2"/>
  <c r="I8" i="4" s="1"/>
  <c r="F21" i="2"/>
  <c r="I18" i="4" s="1"/>
  <c r="F17" i="2"/>
  <c r="I34" i="4" s="1"/>
  <c r="F27" i="2"/>
  <c r="I19" i="4" s="1"/>
  <c r="F36" i="2"/>
  <c r="I24" i="4" s="1"/>
  <c r="F30" i="2"/>
  <c r="I25" i="4" s="1"/>
  <c r="F34" i="2"/>
  <c r="I22" i="4" s="1"/>
  <c r="F31" i="2"/>
  <c r="I9" i="4" s="1"/>
  <c r="F24" i="2"/>
  <c r="I7" i="4" s="1"/>
  <c r="F37" i="2"/>
  <c r="I23" i="4" s="1"/>
  <c r="F16" i="2"/>
  <c r="I30" i="4" s="1"/>
  <c r="F33" i="2"/>
  <c r="I17" i="4" s="1"/>
  <c r="F11" i="2"/>
  <c r="I12" i="4" s="1"/>
  <c r="F40" i="2"/>
  <c r="I32" i="4" s="1"/>
  <c r="F18" i="2"/>
  <c r="I11" i="4" s="1"/>
  <c r="F32" i="2"/>
  <c r="I6" i="4" s="1"/>
  <c r="P27" i="52" l="1"/>
  <c r="G26" i="54"/>
  <c r="P25" i="52"/>
  <c r="E26" i="54"/>
  <c r="I49" i="54"/>
  <c r="I50" i="54"/>
  <c r="I27" i="54"/>
  <c r="I51" i="54"/>
  <c r="I32" i="54"/>
  <c r="I35" i="54"/>
  <c r="I42" i="54"/>
  <c r="I28" i="54"/>
  <c r="I52" i="54"/>
  <c r="I56" i="54"/>
  <c r="P23" i="52"/>
  <c r="C26" i="54"/>
  <c r="I33" i="54" s="1"/>
  <c r="P26" i="52"/>
  <c r="F26" i="54"/>
  <c r="I40" i="54" s="1"/>
  <c r="P16" i="52"/>
  <c r="G2" i="54"/>
  <c r="P12" i="52"/>
  <c r="C2" i="54"/>
  <c r="P14" i="52"/>
  <c r="E2" i="54"/>
  <c r="P13" i="52"/>
  <c r="D2" i="54"/>
  <c r="P11" i="52"/>
  <c r="B2" i="54"/>
  <c r="P15" i="52"/>
  <c r="F2" i="54"/>
  <c r="I90" i="54"/>
  <c r="I67" i="54"/>
  <c r="I94" i="54"/>
  <c r="I93" i="54"/>
  <c r="I89" i="54"/>
  <c r="I64" i="54"/>
  <c r="I82" i="54"/>
  <c r="I70" i="54"/>
  <c r="I91" i="54"/>
  <c r="I66" i="54"/>
  <c r="I88" i="54"/>
  <c r="I77" i="54"/>
  <c r="I81" i="54"/>
  <c r="I92" i="54"/>
  <c r="I65" i="54"/>
  <c r="I80" i="54"/>
  <c r="I63" i="54"/>
  <c r="I87" i="54"/>
  <c r="I85" i="54"/>
  <c r="I62" i="54"/>
  <c r="I69" i="54"/>
  <c r="I68" i="54"/>
  <c r="I79" i="54"/>
  <c r="I78" i="54"/>
  <c r="I86" i="54"/>
  <c r="I76" i="54"/>
  <c r="I75" i="54"/>
  <c r="I84" i="54"/>
  <c r="I74" i="54"/>
  <c r="I83" i="54"/>
  <c r="I73" i="54"/>
  <c r="I72" i="54"/>
  <c r="P41" i="56"/>
  <c r="F18" i="56"/>
  <c r="P11" i="56"/>
  <c r="P22" i="52"/>
  <c r="F28" i="52"/>
  <c r="F17" i="52"/>
  <c r="AN31" i="2"/>
  <c r="AN30" i="2"/>
  <c r="AN27" i="2"/>
  <c r="AN25" i="2"/>
  <c r="AN15" i="2"/>
  <c r="AN39" i="2"/>
  <c r="AN40" i="2"/>
  <c r="AN24" i="2"/>
  <c r="AN36" i="2"/>
  <c r="AN21" i="2"/>
  <c r="AN35" i="2"/>
  <c r="AN14" i="2"/>
  <c r="AN32" i="2"/>
  <c r="AN26" i="2"/>
  <c r="AN41" i="2"/>
  <c r="AN34" i="2"/>
  <c r="AN17" i="2"/>
  <c r="AN19" i="2"/>
  <c r="AN38" i="2"/>
  <c r="AN28" i="2"/>
  <c r="AN12" i="2"/>
  <c r="AN13" i="2"/>
  <c r="AN18" i="2"/>
  <c r="AN29" i="2"/>
  <c r="AN11" i="2"/>
  <c r="AN20" i="2"/>
  <c r="AN33" i="2"/>
  <c r="AN23" i="2"/>
  <c r="AN16" i="2"/>
  <c r="AN37" i="2"/>
  <c r="AN22" i="2"/>
  <c r="F42" i="2"/>
  <c r="I47" i="54" l="1"/>
  <c r="I37" i="54"/>
  <c r="I55" i="54"/>
  <c r="I45" i="54"/>
  <c r="I31" i="54"/>
  <c r="I48" i="54"/>
  <c r="I54" i="54"/>
  <c r="I46" i="54"/>
  <c r="I38" i="54"/>
  <c r="I41" i="54"/>
  <c r="I39" i="54"/>
  <c r="I53" i="54"/>
  <c r="I29" i="54"/>
  <c r="I43" i="54"/>
  <c r="I34" i="54"/>
  <c r="I36" i="54"/>
  <c r="I30" i="54"/>
  <c r="I44" i="54"/>
  <c r="I57" i="54"/>
  <c r="I15" i="54"/>
  <c r="I16" i="54"/>
  <c r="I18" i="54"/>
  <c r="I21" i="54"/>
  <c r="I22" i="54"/>
  <c r="I17" i="54"/>
  <c r="I9" i="54"/>
  <c r="I19" i="54"/>
  <c r="I20" i="54"/>
  <c r="I4" i="54"/>
  <c r="I3" i="54"/>
  <c r="I5" i="54"/>
  <c r="I6" i="54"/>
  <c r="I12" i="54"/>
  <c r="I8" i="54"/>
  <c r="I10" i="54"/>
  <c r="I13" i="54"/>
  <c r="I14" i="54"/>
  <c r="I7" i="54"/>
  <c r="I11" i="54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<sst xmlns="http://schemas.openxmlformats.org/spreadsheetml/2006/main" count="2044" uniqueCount="840">
  <si>
    <t>Rankings</t>
  </si>
  <si>
    <t>Key Note:</t>
  </si>
  <si>
    <t>Importance</t>
  </si>
  <si>
    <t>Definition</t>
  </si>
  <si>
    <t>Type metric name in gray</t>
  </si>
  <si>
    <t>Equal Importance</t>
  </si>
  <si>
    <t>Only type comparison values in white areas</t>
  </si>
  <si>
    <t>Moderate Importance</t>
  </si>
  <si>
    <t>Strong Importance</t>
  </si>
  <si>
    <t>You have to open in the desktop app to copy and paste with the formulas</t>
  </si>
  <si>
    <t>Very Strong Importance</t>
  </si>
  <si>
    <t>Extreme Importance</t>
  </si>
  <si>
    <t>Deploy Air Assets</t>
  </si>
  <si>
    <t>Lead Tankers</t>
  </si>
  <si>
    <t>Supervise Air Attacks (AAGs)</t>
  </si>
  <si>
    <t>Drop Water</t>
  </si>
  <si>
    <t>Drop Fire Retardant</t>
  </si>
  <si>
    <t>Perform Post-Drop Assessment</t>
  </si>
  <si>
    <t>Dispatch To Reloading Base</t>
  </si>
  <si>
    <t>Deploy Ground Assets</t>
  </si>
  <si>
    <t>Establish Containment Lines</t>
  </si>
  <si>
    <t>Spill Water from Ground Assets</t>
  </si>
  <si>
    <t>Tactically Monitor Fires</t>
  </si>
  <si>
    <t>Predict New Fires</t>
  </si>
  <si>
    <t>Detect Fires</t>
  </si>
  <si>
    <t>Visually Confirm Fires</t>
  </si>
  <si>
    <t>Predict Fire Paths/Behavior</t>
  </si>
  <si>
    <t>Strategically Monitor Fires</t>
  </si>
  <si>
    <t>Gather Real Time Data from Assets</t>
  </si>
  <si>
    <t>Build Real Time Situational Awareness</t>
  </si>
  <si>
    <t>Coordinate Air &amp; Ground Resources</t>
  </si>
  <si>
    <t>Dynamically Allocate Resources</t>
  </si>
  <si>
    <t>Issue Commands to Assets</t>
  </si>
  <si>
    <t>Communicate to Resources</t>
  </si>
  <si>
    <t>Maintain Communication Among Assets</t>
  </si>
  <si>
    <t>Maintain Communication Between Assets and C3</t>
  </si>
  <si>
    <t>Deploy First Response Ground Assets</t>
  </si>
  <si>
    <t>Deploy Smokejumpers</t>
  </si>
  <si>
    <t>Activate MAFFS</t>
  </si>
  <si>
    <t>Refuel Airborne Assets</t>
  </si>
  <si>
    <t>Provide MRO for Assets</t>
  </si>
  <si>
    <t>Refill Water and Fire Retardants</t>
  </si>
  <si>
    <t>Provide Logistic Support to Crews</t>
  </si>
  <si>
    <t>Functions</t>
  </si>
  <si>
    <t>Criticality Weights</t>
  </si>
  <si>
    <t>Mass</t>
  </si>
  <si>
    <t>Information</t>
  </si>
  <si>
    <t>Physical</t>
  </si>
  <si>
    <t>Energy</t>
  </si>
  <si>
    <t>Contribution</t>
  </si>
  <si>
    <t>Development</t>
  </si>
  <si>
    <t>Operation</t>
  </si>
  <si>
    <t>Service</t>
  </si>
  <si>
    <t>Prerequisite</t>
  </si>
  <si>
    <t>Coordination</t>
  </si>
  <si>
    <t>Contractual</t>
  </si>
  <si>
    <t>Deliverable</t>
  </si>
  <si>
    <t>Financial</t>
  </si>
  <si>
    <t>Legal</t>
  </si>
  <si>
    <t>Political</t>
  </si>
  <si>
    <t>Category Types (Enabler, Execution, Support)</t>
  </si>
  <si>
    <t>Enabler</t>
  </si>
  <si>
    <t>Execution</t>
  </si>
  <si>
    <t>Support</t>
  </si>
  <si>
    <t>Type</t>
  </si>
  <si>
    <t>These directly act on the fire or mission-critical operations.</t>
  </si>
  <si>
    <t>These maintain and sustain operations.</t>
  </si>
  <si>
    <t>These initiate, coordinate, or enable execution functions.</t>
  </si>
  <si>
    <t>Function</t>
  </si>
  <si>
    <t>Category</t>
  </si>
  <si>
    <t>Justification</t>
  </si>
  <si>
    <t>Enables airborne suppression; assets must be in place before any aerial action.</t>
  </si>
  <si>
    <t>Provides targeting and coordination for aerial suppression drops.</t>
  </si>
  <si>
    <t>Ensures safe and coordinated air attacks during fire response.</t>
  </si>
  <si>
    <t>Initiates ground-level firefighting efforts by placing resources in the field.</t>
  </si>
  <si>
    <t>Supports proactive planning by identifying potential new fire outbreaks.</t>
  </si>
  <si>
    <t>Used to forecast fire behavior, aiding in positioning and response strategy.</t>
  </si>
  <si>
    <t>Synchronizes multi-domain (air/ground) operations for effectiveness.</t>
  </si>
  <si>
    <t>Adjusts resources in real-time based on evolving fire conditions.</t>
  </si>
  <si>
    <t>Delivers real-time instructions that drive operational execution.</t>
  </si>
  <si>
    <t>Allows coordination between field units and central command.</t>
  </si>
  <si>
    <t>Enables rapid deployment of teams during initial response window.</t>
  </si>
  <si>
    <t>Delivers fast-response units into inaccessible or remote areas.</t>
  </si>
  <si>
    <t>Converts military transports into suppression-capable aircraft.</t>
  </si>
  <si>
    <t>Primary method of aerial fire suppression using water.</t>
  </si>
  <si>
    <t>Primary suppression method using chemical retardants.</t>
  </si>
  <si>
    <t>Evaluates the effectiveness of suppression drops post-action.</t>
  </si>
  <si>
    <t>Creates physical boundaries to contain and stop fire spread.</t>
  </si>
  <si>
    <t>Used by ground units for direct fire suppression on-site.</t>
  </si>
  <si>
    <t>Informs real-time decisions through local fire monitoring.</t>
  </si>
  <si>
    <t>Initiates the response system by detecting wildfire presence.</t>
  </si>
  <si>
    <t>Confirms presence and location of fire for further action.</t>
  </si>
  <si>
    <t>Guides suppression efforts through wide-area fire tracking.</t>
  </si>
  <si>
    <t>Feeds command with current field conditions to guide actions.</t>
  </si>
  <si>
    <t>Synthesizes incoming data for holistic fire status tracking.</t>
  </si>
  <si>
    <t>Redirects aircraft to base to prepare for subsequent drops.</t>
  </si>
  <si>
    <t>Ensures responders receive critical information for action.</t>
  </si>
  <si>
    <t>Prevents miscoordination by keeping responders in sync.</t>
  </si>
  <si>
    <t>Sustains aircraft availability through fuel replenishment.</t>
  </si>
  <si>
    <t>Maintains asset functionality for continued operations.</t>
  </si>
  <si>
    <t>Replenishes key suppression materials between missions.</t>
  </si>
  <si>
    <t>Ensures crews have supplies and logistics to operate effectively.</t>
  </si>
  <si>
    <t>Note:</t>
  </si>
  <si>
    <t xml:space="preserve">Enablers usually rank slightly higher because without them, execution never occurs.
</t>
  </si>
  <si>
    <t>Compared Function</t>
  </si>
  <si>
    <t>Score (Saaty Scale)</t>
  </si>
  <si>
    <t>Reference function; compared to itself, importance is equal (1).</t>
  </si>
  <si>
    <t>Lead Tankers rely on deployed assets to function. Deployment is a precursor.</t>
  </si>
  <si>
    <t>Supervision requires assets to already be airborne; deployment comes first.</t>
  </si>
  <si>
    <t>You can’t drop water without deployed aircraft — deployment is upstream.</t>
  </si>
  <si>
    <t>Same as above. Execution relies on prior deployment.</t>
  </si>
  <si>
    <t>Evaluation is helpful but comes only after suppression. Deployment is more time-critical.</t>
  </si>
  <si>
    <t>Resets aircraft for future deployment — slightly less critical than the initial deployment.</t>
  </si>
  <si>
    <t>Ground and air assets are complementary. Both are critical and parallel.</t>
  </si>
  <si>
    <t>Ground operation, but tactically equal in importance to air deployment.</t>
  </si>
  <si>
    <t>Ground execution depends on prior deployment. Slightly less impactful than aerial deployment.</t>
  </si>
  <si>
    <t>Informs drops and safety, but less direct impact than deploying suppression assets.</t>
  </si>
  <si>
    <t>Prediction supports proactive planning but doesn’t directly suppress fires.</t>
  </si>
  <si>
    <t>Triggers response but does not directly suppress. Slightly less critical operationally.</t>
  </si>
  <si>
    <t>Valuable validation step, but lower in hierarchy than acting on the fire.</t>
  </si>
  <si>
    <t>Important for planning drops, but still depends on asset availability.</t>
  </si>
  <si>
    <t>Strategic awareness supports deployment decisions, but not a substitute for action.</t>
  </si>
  <si>
    <t>Supports situational awareness. Not mission-executing on its own.</t>
  </si>
  <si>
    <t>Synthesizes inputs to inform decision-makers. Not a suppression action.</t>
  </si>
  <si>
    <t>Coordination maximizes effectiveness, but neither supersedes deployment.</t>
  </si>
  <si>
    <t>Allocation and deployment work hand in hand; both enable mission execution.</t>
  </si>
  <si>
    <t>Orders are important but assume assets exist and are ready. Deployment is slightly more operational.</t>
  </si>
  <si>
    <t>Keeps operations moving, but less impactful than getting assets airborne.</t>
  </si>
  <si>
    <t>Ensures asset coordination, but requires assets to be present first.</t>
  </si>
  <si>
    <t>Supports continuity, but not as directly tied to suppression as deployment.</t>
  </si>
  <si>
    <t>Like air asset deployment, this is a critical first strike function. Equal in weight.</t>
  </si>
  <si>
    <t>Similar to air deployment but for rapid crew insertion. Equally critical.</t>
  </si>
  <si>
    <t>MAFFS enhances aircraft utility, but is useless if no aircraft are deployed.</t>
  </si>
  <si>
    <t>Enables continued operations, but after deployment has occurred.</t>
  </si>
  <si>
    <t>Keeps aircraft functional long-term, but deployment is the near-term critical action.</t>
  </si>
  <si>
    <t>Supports suppression cycles, but requires assets to be deployed first.</t>
  </si>
  <si>
    <t>Indirect contributor to fire suppression; deployment is far more mission-immediate.</t>
  </si>
  <si>
    <t>Score</t>
  </si>
  <si>
    <t>1/3</t>
  </si>
  <si>
    <t>Lead tankers depend on the existence of deployed aircraft to operate.</t>
  </si>
  <si>
    <t>1</t>
  </si>
  <si>
    <t>1/2</t>
  </si>
  <si>
    <t>AAGs coordinate multiple aircraft; slightly more influential across operations.</t>
  </si>
  <si>
    <t>Tankers guide drops; both are tightly coupled in suppression.</t>
  </si>
  <si>
    <t>Same as above — tankers directly support this operation.</t>
  </si>
  <si>
    <t>3</t>
  </si>
  <si>
    <t>Guiding drops is more operationally impactful than later evaluation.</t>
  </si>
  <si>
    <t>Leading the drop is more mission-critical than returning to base.</t>
  </si>
  <si>
    <t>Lead tankers affect aerial ops only; ground asset deployment has broader scope.</t>
  </si>
  <si>
    <t>Ground containment shapes the fire boundary, slightly more strategic.</t>
  </si>
  <si>
    <t>2</t>
  </si>
  <si>
    <t>Aerial lead tankers typically have more coverage and impact per operation.</t>
  </si>
  <si>
    <t>Tankers use tactical monitoring data to operate. Equally important.</t>
  </si>
  <si>
    <t>1/5</t>
  </si>
  <si>
    <t>Prediction is strategic, but tankers act on immediate threats.</t>
  </si>
  <si>
    <t>Detection initiates the chain, but lead tankers are part of execution.</t>
  </si>
  <si>
    <t>Confirmation precedes deployment, but is less critical in suppression.</t>
  </si>
  <si>
    <t>Planning support — helpful, but not directly tied to action like tankers.</t>
  </si>
  <si>
    <t>Monitoring supports wide-area coordination; slightly more strategic.</t>
  </si>
  <si>
    <t>Tankers act on this data — more downstream but more operational.</t>
  </si>
  <si>
    <t>Awareness guides targeting, but tankers execute suppression.</t>
  </si>
  <si>
    <t>Coordination drives overall effectiveness; slightly more critical.</t>
  </si>
  <si>
    <t>Allocation shapes when and where tankers go — slightly more enabling.</t>
  </si>
  <si>
    <t>Command directs tankers; enabler with broader control.</t>
  </si>
  <si>
    <t>Communication enables tankers but is not sufficient on its own.</t>
  </si>
  <si>
    <t>Supports coordination; tankers depend on this but act on suppression.</t>
  </si>
  <si>
    <t>Enables tactical updates and direction; broader scope than tankers.</t>
  </si>
  <si>
    <t>Both are initial responders — parallel in importance.</t>
  </si>
  <si>
    <t>Same rationale — first-in assets with rapid tactical impact.</t>
  </si>
  <si>
    <t>MAFFS extends aerial fleet; lead tankers still enable targeting.</t>
  </si>
  <si>
    <t>Keeps aircraft in the air — supportive but not mission-targeting.</t>
  </si>
  <si>
    <t>MRO ensures readiness, but tankers execute live missions.</t>
  </si>
  <si>
    <t>Mutually dependent — no point in tanking without fire suppressant.</t>
  </si>
  <si>
    <t>Less direct; enables humans to function but not tied to mission-critical ops.</t>
  </si>
  <si>
    <t>AAGs coordinate after assets are deployed. Deployment is a prerequisite.</t>
  </si>
  <si>
    <t>Lead tankers are tactically directed by AAGs; AAGs have broader command role.</t>
  </si>
  <si>
    <t>AAGs depend on drop assets, but determine optimal use. Equal importance.</t>
  </si>
  <si>
    <t>Same rationale—both roles are part of coordinated aerial attack.</t>
  </si>
  <si>
    <t>Evaluation follows execution; AAGs operate in-the-moment.</t>
  </si>
  <si>
    <t>Reloading supports continuity, AAGs drive suppression logic.</t>
  </si>
  <si>
    <t>Ground and air deployment serve different but parallel roles.</t>
  </si>
  <si>
    <t>Containment lines and aerial supervision are tactically aligned in impact.</t>
  </si>
  <si>
    <t>Spilling water is reactive; AAGs are proactive coordinators.</t>
  </si>
  <si>
    <t>AAGs use this info for tactical decisions; same tier.</t>
  </si>
  <si>
    <t>Prediction is helpful but not operationally urgent during attack.</t>
  </si>
  <si>
    <t>Detection is essential for start, but AAGs execute real-time actions.</t>
  </si>
  <si>
    <t>Confirmation is a check, but doesn’t guide aerial execution.</t>
  </si>
  <si>
    <t>Prediction supports positioning; AAGs enable fireline suppression.</t>
  </si>
  <si>
    <t>Strategic monitoring sets the context; AAGs act in it.</t>
  </si>
  <si>
    <t>Data flows into AAGs’ targeting process. Equally important.</t>
  </si>
  <si>
    <t>AAGs need awareness to function; direct dependency.</t>
  </si>
  <si>
    <t>AAGs operate within and support resource coordination.</t>
  </si>
  <si>
    <t>Tactical allocation is a core part of AAGs’ role.</t>
  </si>
  <si>
    <t>Orders are relayed or refined through AAGs.</t>
  </si>
  <si>
    <t>Ongoing communication is a prerequisite for AAG safety and impact.</t>
  </si>
  <si>
    <t>AAGs guide asset coordination; both directions critical.</t>
  </si>
  <si>
    <t>Command loop continuity is mutual between AAGs and C3.</t>
  </si>
  <si>
    <t>Rapid deployment on ground mirrors urgency of AAG air response.</t>
  </si>
  <si>
    <t>Both operate in high-speed deployment roles under stress.</t>
  </si>
  <si>
    <t>AAGs guide and utilize MAFFS drops tactically.</t>
  </si>
  <si>
    <t>Refueling sustains, AAGs execute the mission.</t>
  </si>
  <si>
    <t>AAGs act in real-time, while MRO ensures readiness over longer arcs.</t>
  </si>
  <si>
    <t>Refill is operational support; AAGs direct tactical action.</t>
  </si>
  <si>
    <t>AAGs have greater short-term mission impact than background logistics.</t>
  </si>
  <si>
    <t>Both are core aerial suppression methods and equally critical.</t>
  </si>
  <si>
    <t>Dropping water suppresses the fire; assessment happens after the fact.</t>
  </si>
  <si>
    <t>Refueling is necessary for sustained action but not suppression itself.</t>
  </si>
  <si>
    <t>Ground and air assets deploy simultaneously; equal tactical importance.</t>
  </si>
  <si>
    <t>Establishing lines and suppression are both frontline tactics.</t>
  </si>
  <si>
    <t>Ground spill is helpful but covers less area than air drop.</t>
  </si>
  <si>
    <t>Real-time tactical insight is crucial to accurate water drops.</t>
  </si>
  <si>
    <t>Predictions help target assets but don’t put out fires directly.</t>
  </si>
  <si>
    <t>Detection is required to start ops, but does not suppress.</t>
  </si>
  <si>
    <t>Visual checks confirm fire presence; not a suppression action.</t>
  </si>
  <si>
    <t>Behavior predictions aid targeting but do not fight fire directly.</t>
  </si>
  <si>
    <t>Monitoring provides input for decisions — as vital as execution.</t>
  </si>
  <si>
    <t>Data from sensors helps guide drops — tightly linked in function.</t>
  </si>
  <si>
    <t>Situational picture and execution must evolve together.</t>
  </si>
  <si>
    <t>Coordination ensures timing and coverage of suppression actions.</t>
  </si>
  <si>
    <t>Allocation governs where resources like drops go — same level.</t>
  </si>
  <si>
    <t>Orders activate drop missions — equally vital.</t>
  </si>
  <si>
    <t>Drop missions are coordinated through effective comms.</t>
  </si>
  <si>
    <t>Maintains formation and operation integrity during air attacks.</t>
  </si>
  <si>
    <t>Connects aerial efforts to command control systems in real-time.</t>
  </si>
  <si>
    <t>First-in ground efforts complement first-in air actions.</t>
  </si>
  <si>
    <t>Fast-response air and ground teams have equal urgency.</t>
  </si>
  <si>
    <t>MAFFS enables large-scale drops — equal priority to drop execution.</t>
  </si>
  <si>
    <t>Without fuel, planes can't drop — slightly less immediate.</t>
  </si>
  <si>
    <t>Keeps aircraft airworthy — operational support to drops.</t>
  </si>
  <si>
    <t>Drop operations require constant refills — mutual dependence.</t>
  </si>
  <si>
    <t>Supports personnel but doesn’t directly affect suppression cycles.</t>
  </si>
  <si>
    <t>Retardant application suppresses fire; assessment is post-action.</t>
  </si>
  <si>
    <t>Reloading supports continued use but is not suppression itself.</t>
  </si>
  <si>
    <t>Ground and aerial assets are parallel in frontline importance.</t>
  </si>
  <si>
    <t>Creating boundaries and aerial suppression are complementary tactics.</t>
  </si>
  <si>
    <t>Ground delivery is more limited than aerial retardant coverage.</t>
  </si>
  <si>
    <t>Monitoring supports targeting; equally important in tactical scope.</t>
  </si>
  <si>
    <t>Prediction supports allocation, but retardant executes suppression.</t>
  </si>
  <si>
    <t>Detection initiates response, but retardant suppresses active fire.</t>
  </si>
  <si>
    <t>Confirmation is informational, not suppressive.</t>
  </si>
  <si>
    <t>Path prediction helps targeting but doesn’t act on fire.</t>
  </si>
  <si>
    <t>Broad monitoring informs strategy; retardant acts tactically.</t>
  </si>
  <si>
    <t>Data supports targeting; execution is just as essential.</t>
  </si>
  <si>
    <t>Awareness shapes mission, but retardant does the direct suppression.</t>
  </si>
  <si>
    <t>Coordination makes retardant deployment effective.</t>
  </si>
  <si>
    <t>Allocation and suppression go hand in hand.</t>
  </si>
  <si>
    <t>Commands direct retardant use — same level of importance.</t>
  </si>
  <si>
    <t>Communication enables effective execution.</t>
  </si>
  <si>
    <t>Maintains coordination between actors during suppression.</t>
  </si>
  <si>
    <t>Syncs airborne ops with C3 — critical for timely drops.</t>
  </si>
  <si>
    <t>Ground first responders are equivalent in tactical timing.</t>
  </si>
  <si>
    <t>Rapid ground insertion is tactically similar to aerial drops.</t>
  </si>
  <si>
    <t>MAFFS enables retardant deployment — equal in mission value.</t>
  </si>
  <si>
    <t>Sustains aircraft; retardant is the main action.</t>
  </si>
  <si>
    <t>Supports long-term use of aircraft; retardant does the firefighting.</t>
  </si>
  <si>
    <t>Mission-critical dependency — must have retardant to drop.</t>
  </si>
  <si>
    <t>Indirect impact; doesn’t act on the fire like retardant does.</t>
  </si>
  <si>
    <t>Reloading sustains operations, assessment evaluates prior effectiveness — slightly more operational.</t>
  </si>
  <si>
    <t>Ground deployment acts on the fire, while assessment is retrospective.</t>
  </si>
  <si>
    <t>Containment lines are direct suppression tactics; assessment is analysis.</t>
  </si>
  <si>
    <t>Both occur post-action but water spill acts on fire, assessment reviews results.</t>
  </si>
  <si>
    <t>Monitoring guides future action; assessment reflects past outcomes.</t>
  </si>
  <si>
    <t>Prediction and assessment are both planning tools — equal weight.</t>
  </si>
  <si>
    <t>Detection is an initiating action; assessment follows execution — equal in planning use.</t>
  </si>
  <si>
    <t>Confirmation and assessment validate fire conditions — similar utility.</t>
  </si>
  <si>
    <t>Behavior modeling and impact evaluation support future strategy — same importance.</t>
  </si>
  <si>
    <t>Strategic monitoring and assessment shape long-term planning.</t>
  </si>
  <si>
    <t>Real-time data and post-event analysis are both used to refine tactics.</t>
  </si>
  <si>
    <t>Situational awareness and assessment provide mission insights.</t>
  </si>
  <si>
    <t>Coordination is real-time enabling; assessment is retrospective — both planning aids.</t>
  </si>
  <si>
    <t>Allocation is proactive; assessment informs future allocations.</t>
  </si>
  <si>
    <t>Commands drive action; assessment drives improvement.</t>
  </si>
  <si>
    <t>Communication sustains ops; assessment refines effectiveness.</t>
  </si>
  <si>
    <t>Both enable learning and cohesion across mission.</t>
  </si>
  <si>
    <t>Assessment results feed into C3 updates and decisions.</t>
  </si>
  <si>
    <t>First responders take immediate action; assessment is follow-up.</t>
  </si>
  <si>
    <t>Smokejumpers act tactically; assessment looks backward.</t>
  </si>
  <si>
    <t>MAFFS expands capacity; assessment measures success.</t>
  </si>
  <si>
    <t>Both are supportive functions, one ongoing and one post-action.</t>
  </si>
  <si>
    <t>Maintenance keeps assets running; assessment improves strategy.</t>
  </si>
  <si>
    <t>Refill enables repeat actions; assessment evaluates last action.</t>
  </si>
  <si>
    <t>Assessment informs logistics, which support sustained operations.</t>
  </si>
  <si>
    <t>Deployment acts directly on the fire; reloading supports ongoing action — slightly less critical.</t>
  </si>
  <si>
    <t>Containment is a suppression method; reloading is prep for future action.</t>
  </si>
  <si>
    <t>Spill is a suppression activity; reloading enables continuation — slightly less critical.</t>
  </si>
  <si>
    <t>Monitoring guides targeting; reloading supports repetition of targeting.</t>
  </si>
  <si>
    <t>Prediction and prep are both strategic — equal importance.</t>
  </si>
  <si>
    <t>Detection starts the mission, reloading continues it — both are enablers.</t>
  </si>
  <si>
    <t>Confirmation ensures targets are valid — equals the role of prepping for future sorties.</t>
  </si>
  <si>
    <t>Fire path modeling and reload planning are both proactive.</t>
  </si>
  <si>
    <t>Strategic view supports coordination; reloading sustains fire engagement.</t>
  </si>
  <si>
    <t>Data and fuel are both inputs for continued operations.</t>
  </si>
  <si>
    <t>Awareness and readiness are both essential for effectiveness.</t>
  </si>
  <si>
    <t>Coordination ensures reloads are optimized — coequal in mission support.</t>
  </si>
  <si>
    <t>Reload location and resource allocation work together.</t>
  </si>
  <si>
    <t>Orders determine who reloads and when — intertwined.</t>
  </si>
  <si>
    <t>Reloads and field comms sustain continuity — equal in execution.</t>
  </si>
  <si>
    <t>Asset communication helps ensure timing/safety — co-functioning with rearming.</t>
  </si>
  <si>
    <t>Communication with C3 helps assign reload tasks — equal function.</t>
  </si>
  <si>
    <t>Initial deployment is the tip of the spear — slightly more critical.</t>
  </si>
  <si>
    <t>Smokejumpers are high-risk, rapid-response; reloading supports volume not surprise.</t>
  </si>
  <si>
    <t>MAFFS enables capacity; reloading feeds it — slightly less critical.</t>
  </si>
  <si>
    <t>Reload and refuel are operational twins — equal in scope.</t>
  </si>
  <si>
    <t>MRO ensures readiness long term, reloading is short-term cycle — equally needed.</t>
  </si>
  <si>
    <t>Reloading directly precedes refill — equal function in sortie loop.</t>
  </si>
  <si>
    <t>Crew support ensures reloading happens effectively — same tier.</t>
  </si>
  <si>
    <t>Ground deployment enables fireline work; containment is one of their primary tasks — equal.</t>
  </si>
  <si>
    <t>Water delivery is an execution function post-deployment — same priority tier.</t>
  </si>
  <si>
    <t>Monitoring informs action; deployment places the assets to act — equal.</t>
  </si>
  <si>
    <t>Prediction is strategic; deployment is operational — deployment slightly more critical.</t>
  </si>
  <si>
    <t>Detection is the trigger, but deployment acts on the fire — operational impact is slightly higher.</t>
  </si>
  <si>
    <t>Visual confirmation validates fires, but deployment enables response — equal importance.</t>
  </si>
  <si>
    <t>Fire path modeling informs where to deploy, but the act of deploying has more tactical immediacy.</t>
  </si>
  <si>
    <t>Strategic monitoring supports deployment decisions — but both have sustained operational value.</t>
  </si>
  <si>
    <t>Real-time data and field ops are directly linked — both are operational priorities.</t>
  </si>
  <si>
    <t>Awareness enables targeting and placement — equally vital as being able to act.</t>
  </si>
  <si>
    <t>Coordination ensures that deployment is effective — symbiotic relationship.</t>
  </si>
  <si>
    <t>Allocation affects where ground assets go — both are operationally enabling.</t>
  </si>
  <si>
    <t>Commands activate deployment — same functional importance.</t>
  </si>
  <si>
    <t>Communication sustains field effectiveness post-deployment — equally important.</t>
  </si>
  <si>
    <t>Maintaining communication ensures safe and coordinated ground actions — co-equal.</t>
  </si>
  <si>
    <t>Communication to C3 enables deployment decisions and feedback — mission-critical link.</t>
  </si>
  <si>
    <t>First response is an initial instantiation of deployment — same tier of urgency.</t>
  </si>
  <si>
    <t>Smokejumpers and ground assets act early, under different profiles — same impact tier.</t>
  </si>
  <si>
    <t>MAFFS supports air assets; ground deployment operates independently — equal domain impact.</t>
  </si>
  <si>
    <t>Refueling is aerial sustainment; ground deployment is terrestrial action — equal roles.</t>
  </si>
  <si>
    <t>MRO ensures readiness; deployment is action — both needed for effectiveness.</t>
  </si>
  <si>
    <t>Deployment and refill cycles go hand-in-hand for suppression operations — co-dependent.</t>
  </si>
  <si>
    <t>Crew logistics sustain deployed teams — both are enablers of effective field presence.</t>
  </si>
  <si>
    <t>Spill and containment both directly suppress fire — same tier of impact.</t>
  </si>
  <si>
    <t>Monitoring helps guide tactics but doesn’t physically halt fire spread — containment is equally important.</t>
  </si>
  <si>
    <t>Prediction supports pre-positioning; containment is actual fireline defense — more tactical.</t>
  </si>
  <si>
    <t>Detection is the trigger but doesn’t act on the fire — containment has operational value.</t>
  </si>
  <si>
    <t>Confirmation ensures fire presence; containment actively mitigates spread.</t>
  </si>
  <si>
    <t>Path prediction supports planning; containment limits actual spread — more immediately tactical.</t>
  </si>
  <si>
    <t>Strategic monitoring guides action; containment executes it.</t>
  </si>
  <si>
    <t>Data informs suppression action; containment is the action.</t>
  </si>
  <si>
    <t>Situational awareness helps assess and guide where to build lines — operational partners.</t>
  </si>
  <si>
    <t>Coordination ensures resources work together; containment contributes physical control.</t>
  </si>
  <si>
    <t>Allocation decides who acts where; containment is one of those actions.</t>
  </si>
  <si>
    <t>Commands initiate action; containment is a core tactical result.</t>
  </si>
  <si>
    <t>Communication keeps ops functioning; containment is the outcome of coordinated effort.</t>
  </si>
  <si>
    <t>Asset communication sustains containment activity — equally critical.</t>
  </si>
  <si>
    <t>Communication with C3 keeps high-level ops aligned — same importance tier.</t>
  </si>
  <si>
    <t>First responders often implement initial containment — same function level.</t>
  </si>
  <si>
    <t>Smokejumpers engage in initial suppression — containment is a direct follow-on.</t>
  </si>
  <si>
    <t>MAFFS handles aerial suppression; containment is complementary ground action.</t>
  </si>
  <si>
    <t>Refueling sustains aircraft; containment maintains ground lines — equally critical sustainment.</t>
  </si>
  <si>
    <t>MRO enables readiness for containment tools and vehicles — operational pairing.</t>
  </si>
  <si>
    <t>Refill supports suppression cycles; containment defines their edge — equally needed.</t>
  </si>
  <si>
    <t>Logistics sustains those building lines — same systemic function tier.</t>
  </si>
  <si>
    <t>Monitoring guides where to spill water — equally essential in execution.</t>
  </si>
  <si>
    <t>Prediction helps pre-position, but water application is tactical execution.</t>
  </si>
  <si>
    <t>Detection enables initiation, but spill is part of real suppression.</t>
  </si>
  <si>
    <t>Confirmation validates target, spill acts on it — greater operational role.</t>
  </si>
  <si>
    <t>Path modeling helps aim assets; spill acts to stop fire physically.</t>
  </si>
  <si>
    <t>Strategic oversight complements field action — equally vital in coordination.</t>
  </si>
  <si>
    <t>Data guides operations, but spill is execution — same level of necessity.</t>
  </si>
  <si>
    <t>Awareness and field action both directly influence mission outcomes.</t>
  </si>
  <si>
    <t>Coordination ensures proper spill use — neither functions without the other.</t>
  </si>
  <si>
    <t>Allocation dictates where to act; spill is the action — both are operational.</t>
  </si>
  <si>
    <t>Orders and action are linked; one directs, one executes.</t>
  </si>
  <si>
    <t>Communication enables effective suppression — both are critical during ops.</t>
  </si>
  <si>
    <t>Keeps team effectiveness high — supports field suppression actions.</t>
  </si>
  <si>
    <t>Provides macro-level support from C3 — equal operational importance.</t>
  </si>
  <si>
    <t>Rapid field action and water delivery serve same first-response window.</t>
  </si>
  <si>
    <t>Both operate in the early phase — one is person-based, one vehicle-based.</t>
  </si>
  <si>
    <t>MAFFS is an aerial method; spill is a ground method — equivalent role.</t>
  </si>
  <si>
    <t>Fuel keeps air ops going; water supply sustains suppression — equal support level.</t>
  </si>
  <si>
    <t>MRO enables ground units to keep operating — critical to water delivery.</t>
  </si>
  <si>
    <t>Refill is fundamental to continue operations — directly tied to water spill.</t>
  </si>
  <si>
    <t>Logistics keeps spill units running effectively — core support function.</t>
  </si>
  <si>
    <t>Tactical monitoring acts on current fires; prediction is strategic — tactical is more urgent.</t>
  </si>
  <si>
    <t>Monitoring is used in real-time to direct suppression; detection starts the chain — monitoring is more persistent.</t>
  </si>
  <si>
    <t>Confirmation validates a fire, but tactical monitoring helps guide operations continuously.</t>
  </si>
  <si>
    <t>Fire path prediction is a planning tool — monitoring supports dynamic adjustments.</t>
  </si>
  <si>
    <t>Strategic view and tactical monitoring operate at different altitudes — equal value.</t>
  </si>
  <si>
    <t>Both involve real-time information that feeds suppression action — equal.</t>
  </si>
  <si>
    <t>Awareness and monitoring are complementary — both sustain fireground understanding.</t>
  </si>
  <si>
    <t>Coordination is facilitated by tactical input — equally necessary.</t>
  </si>
  <si>
    <t>Allocation decisions depend on field insight — co-functioning roles.</t>
  </si>
  <si>
    <t>Commands are implemented using tactical fire monitoring — operational pairing.</t>
  </si>
  <si>
    <t>Communication helps execute what tactical monitoring reveals — equally critical.</t>
  </si>
  <si>
    <t>Communication between field units enables full use of tactical monitoring — same tier.</t>
  </si>
  <si>
    <t>Field-to-C3 links allow use of tactical data — co-dependent functions.</t>
  </si>
  <si>
    <t>Monitoring supports responder safety and effectiveness — same critical tier.</t>
  </si>
  <si>
    <t>Smokejumpers respond based on fire spread — guided by monitoring.</t>
  </si>
  <si>
    <t>MAFFS drops benefit from ongoing tactical observation — same importance.</t>
  </si>
  <si>
    <t>Aircraft refuel enables sustained monitoring and suppression — equal value in sustainment.</t>
  </si>
  <si>
    <t>Maintenance enables sensor and crew platforms to stay operational — same necessity tier.</t>
  </si>
  <si>
    <t>Refill enables suppression based on what monitoring identifies — both operationally paired.</t>
  </si>
  <si>
    <t>Logistics supports all tactical field functions, including monitoring — equal support level.</t>
  </si>
  <si>
    <t>Prediction is strategic and proactive; detection is reactive and event-driven — detection slightly more urgent.</t>
  </si>
  <si>
    <t>Both are validation functions used early in the fire lifecycle — equally useful.</t>
  </si>
  <si>
    <t>Path prediction and new fire forecasting both help with forward planning — equal tier.</t>
  </si>
  <si>
    <t>Strategic monitoring and prediction both guide macro-level decision making.</t>
  </si>
  <si>
    <t>Both involve analyzing sensor data for proactive planning — same level of importance.</t>
  </si>
  <si>
    <t>Situational awareness includes prediction as one layer — equal system value.</t>
  </si>
  <si>
    <t>Planning fire response benefits equally from prediction and coordination.</t>
  </si>
  <si>
    <t>Allocation is driven by awareness of potential fire zones — equally important.</t>
  </si>
  <si>
    <t>Prediction helps initiate commands for prevention and readiness — equivalent weight.</t>
  </si>
  <si>
    <t>Communication keeps forecast alerts flowing — same operational priority.</t>
  </si>
  <si>
    <t>Asset sync ensures forecasted risks are met with coordinated response — equal tier.</t>
  </si>
  <si>
    <t>C3 integration ensures that fire prediction becomes operational — same value.</t>
  </si>
  <si>
    <t>First response reacts to fires; prediction prevents or mitigates escalation — slightly less urgent.</t>
  </si>
  <si>
    <t>Smokejumpers act fast on known fires — prediction prevents surprise — tactical trumps strategic here.</t>
  </si>
  <si>
    <t>MAFFS acts during fires; prediction can’t replace suppression — less critical short-term.</t>
  </si>
  <si>
    <t>Aircraft refueling sustains ops; prediction reduces surprise — ops support takes slight precedence.</t>
  </si>
  <si>
    <t>MRO sustains readiness; prediction is forecasting — both enable longer-term impact.</t>
  </si>
  <si>
    <t>Refill is needed immediately during a fire — prediction is helpful beforehand.</t>
  </si>
  <si>
    <t>Logistics supports all ops — prediction shapes planning — slightly less urgent operationally.</t>
  </si>
  <si>
    <t>Detection initiates the response; confirmation validates — detection is more fundamental.</t>
  </si>
  <si>
    <t>Prediction models behavior post-detection — detection is prerequisite.</t>
  </si>
  <si>
    <t>Monitoring relies on a fire being detected — detection comes first.</t>
  </si>
  <si>
    <t>Detection and data are co-dependent — detection feeds data streams.</t>
  </si>
  <si>
    <t>Situational awareness is built upon detection — equal partnership.</t>
  </si>
  <si>
    <t>Coordination starts once a fire is known — detection triggers it.</t>
  </si>
  <si>
    <t>Allocation requires known fires — detection precedes decision making.</t>
  </si>
  <si>
    <t>Command flow begins in response to detection — equal importance operationally.</t>
  </si>
  <si>
    <t>Resources are communicated to based on fire detection — functionally equal.</t>
  </si>
  <si>
    <t>Maintains field awareness once fire is detected — dependent, but equal.</t>
  </si>
  <si>
    <t>C3 systems depend on fire detection input — same tier of importance.</t>
  </si>
  <si>
    <t>First response launches upon detection — detection enables deployment.</t>
  </si>
  <si>
    <t>Smokejumpers are dispatched based on detection — detection is enabling.</t>
  </si>
  <si>
    <t>MAFFS activation depends on detection of fire scale — detection leads.</t>
  </si>
  <si>
    <t>Refueling supports actions initiated by detection — detection triggers demand.</t>
  </si>
  <si>
    <t>Maintenance ensures readiness; detection initiates use — detection takes priority.</t>
  </si>
  <si>
    <t>Refill is tactical sustainment; detection begins the mission — detection leads.</t>
  </si>
  <si>
    <t>Logistics support all missions, but detection is the trigger for the mission to exist.</t>
  </si>
  <si>
    <t>Both are proactive fire analysis tools — equal importance in early-phase operations.</t>
  </si>
  <si>
    <t>Strategic oversight validates visual confirmation and vice versa — co-dependent functions.</t>
  </si>
  <si>
    <t>Confirmation feeds into data collection efforts — same operational loop.</t>
  </si>
  <si>
    <t>Situational awareness includes on-the-ground validation — equal system inputs.</t>
  </si>
  <si>
    <t>Visual confirmation enables coordination validation — both guide response.</t>
  </si>
  <si>
    <t>Allocation decisions require known/confirmed targets — equally vital.</t>
  </si>
  <si>
    <t>Commands are more meaningful with accurate field intel — equal importance.</t>
  </si>
  <si>
    <t>Confirmation gives feedback to operational decisions — same impact tier.</t>
  </si>
  <si>
    <t>Communications must reflect ground truth — which confirmation provides.</t>
  </si>
  <si>
    <t>Feedback to C3 from visual confirmation improves operational accuracy — equally essential.</t>
  </si>
  <si>
    <t>Initial deployment happens after confirmation — confirmation slightly less urgent.</t>
  </si>
  <si>
    <t>Smokejumpers are sent in after confirmed fire presence — operational timing higher.</t>
  </si>
  <si>
    <t>MAFFS is activated based on fire severity — confirmation is prior input.</t>
  </si>
  <si>
    <t>Refueling supports execution post-confirmation — slightly more downstream.</t>
  </si>
  <si>
    <t>MRO sustains system capacity — confirmation precedes usage.</t>
  </si>
  <si>
    <t>Refill occurs in suppression phase — confirmation comes earlier.</t>
  </si>
  <si>
    <t>Logistics sustain confirmed mission profiles — slightly more indirect than field validation.</t>
  </si>
  <si>
    <t>Compared To</t>
  </si>
  <si>
    <t>AHP Score</t>
  </si>
  <si>
    <t>Strategic monitoring supports predictive modeling but is broader in scope.</t>
  </si>
  <si>
    <t>Prediction depends on data, but adds processing and modeling.</t>
  </si>
  <si>
    <t>Prediction is a subset of SA, but more proactive.</t>
  </si>
  <si>
    <t>Coordination supports execution, while prediction supports planning.</t>
  </si>
  <si>
    <t>Prediction informs allocation, but allocation is operational.</t>
  </si>
  <si>
    <t>Prediction is higher-level planning, commands are downstream execution.</t>
  </si>
  <si>
    <t>4</t>
  </si>
  <si>
    <t>Prediction has higher analytical value than one-way communication.</t>
  </si>
  <si>
    <t>Prediction supports coordination, whereas comms just enable it.</t>
  </si>
  <si>
    <t>Prediction enables C3 decision making, comms enable reach.</t>
  </si>
  <si>
    <t>Initial ground response is critical, even without predictive insight.</t>
  </si>
  <si>
    <t>Both are highly specialized and contextually critical.</t>
  </si>
  <si>
    <t>MAFFS activation is valuable for suppression; prediction helps pre-position.</t>
  </si>
  <si>
    <t>Prediction supports resource optimization, refueling supports mission continuity.</t>
  </si>
  <si>
    <t>Prediction supports forward planning, MRO ensures long-term operability.</t>
  </si>
  <si>
    <t>Refill is a support task, prediction optimizes its use.</t>
  </si>
  <si>
    <t>Prediction affects logistics timing and efficiency.</t>
  </si>
  <si>
    <t>Function Compared To</t>
  </si>
  <si>
    <t>Strategic monitoring provides context for incoming real-time data.</t>
  </si>
  <si>
    <t>Strategic context enables interpretation of evolving fire awareness.</t>
  </si>
  <si>
    <t>Direct coordination is often more impactful than passive oversight.</t>
  </si>
  <si>
    <t>Resource allocation directly affects suppression effectiveness.</t>
  </si>
  <si>
    <t>Asset tasking typically has higher operational leverage.</t>
  </si>
  <si>
    <t>Strategic monitoring and direct comms are often equally weighted.</t>
  </si>
  <si>
    <t>Both enable synchronized, safe firefighting operations.</t>
  </si>
  <si>
    <t>Monitoring and C3 coordination are foundational and codependent.</t>
  </si>
  <si>
    <t>Ground asset deployment often has more immediate tactical effect.</t>
  </si>
  <si>
    <t>Smokejumpers provide fast suppression response, often prioritized.</t>
  </si>
  <si>
    <t>Aerial suppression from MAFFS can be mission-critical.</t>
  </si>
  <si>
    <t>Airtanker readiness (fuel) directly affects sortie rate.</t>
  </si>
  <si>
    <t>Maintenance is vital for safety but less urgent tactically.</t>
  </si>
  <si>
    <t>Water/retardant resupply sustains ops but isn’t proactive like monitoring.</t>
  </si>
  <si>
    <t>Crew logistics are important, but not time-dominant during suppression.</t>
  </si>
  <si>
    <t>AHP Value</t>
  </si>
  <si>
    <t>Situational awareness is more integrative and decision-focused than raw data gathering.</t>
  </si>
  <si>
    <t>Air-ground coordination requires a broader view than data provision alone.</t>
  </si>
  <si>
    <t>Resource allocation relies on interpreted data, not raw sensor feeds.</t>
  </si>
  <si>
    <t>Commanding assets is downstream of analysis — raw data alone isn’t actionable.</t>
  </si>
  <si>
    <t>Data helps, but direct communication addresses real-time needs.</t>
  </si>
  <si>
    <t>Maintaining comms ensures team cohesion during ops, beyond just sensor updates.</t>
  </si>
  <si>
    <t>Communication with C3 reflects strategic alignment, not just tactical insight.</t>
  </si>
  <si>
    <t>First response relies partially on sensing, but data alone doesn’t deploy crews.</t>
  </si>
  <si>
    <t>Specialized rapid insertion (smokejumpers) is more labor-intensive than data gathering.</t>
  </si>
  <si>
    <t>MAFFS activation is a significant operational act, beyond just detecting.</t>
  </si>
  <si>
    <t>Refueling aircraft is a logistics-heavy task with high operational cost.</t>
  </si>
  <si>
    <t>MRO involves repair/maintenance planning — more complex than sensing.</t>
  </si>
  <si>
    <t>Supplying retardant is action-oriented, resource-intensive.</t>
  </si>
  <si>
    <t>Crew logistics is vital for long-term support — sensing plays only a small part.</t>
  </si>
  <si>
    <t>Situational awareness precedes coordination of air and ground responses.</t>
  </si>
  <si>
    <t>Dynamic allocation depends on situational awareness input.</t>
  </si>
  <si>
    <t>Issuing commands requires synthesized situational context.</t>
  </si>
  <si>
    <t>Communicating to resources benefits from updated situational awareness.</t>
  </si>
  <si>
    <t>Asset coordination requires knowledge of evolving conditions.</t>
  </si>
  <si>
    <t>C3 communication frameworks are dependent on real-time awareness.</t>
  </si>
  <si>
    <t>Deployment of ground assets is guided by situational insight.</t>
  </si>
  <si>
    <t>Smokejumper operations rely on current understanding of fire progression.</t>
  </si>
  <si>
    <t>Activating MAFFS is more reactionary and tactical, needing situational triggers.</t>
  </si>
  <si>
    <t>Refueling supports air asset longevity, less dependent on real-time data.</t>
  </si>
  <si>
    <t>Maintenance is backend support, less influenced by situational change.</t>
  </si>
  <si>
    <t>Refill ops are logistical support, less prioritized over awareness.</t>
  </si>
  <si>
    <t>Logistics support is planning-based and less dynamic than situational updates.</t>
  </si>
  <si>
    <t>Resource coordination informs but is distinct from dynamic allocation, which is more adaptive.</t>
  </si>
  <si>
    <t>Coordination includes command issuance, placing both on equal strategic footing.</t>
  </si>
  <si>
    <t>Coordination implies higher-level planning and integration than simple communication.</t>
  </si>
  <si>
    <t>While coordination requires asset communication, its scope is broader.</t>
  </si>
  <si>
    <t>Coordination extends beyond C3 communication to include task synchronization.</t>
  </si>
  <si>
    <t>Coordination sets the stage for deployment but is one step removed from direct action.</t>
  </si>
  <si>
    <t>Coordination supports this deployment but does not inherently involve execution.</t>
  </si>
  <si>
    <t>Resource coordination enables activation but is strategically broader.</t>
  </si>
  <si>
    <t>Coordination has higher-level strategic importance than refueling logistics.</t>
  </si>
  <si>
    <t>Coordination takes precedence over backend support like maintenance.</t>
  </si>
  <si>
    <t>Coordination is strategically more critical than this support function.</t>
  </si>
  <si>
    <t>Coordination relies on logistics but involves broader tactical decisions.</t>
  </si>
  <si>
    <t>Dynamic allocation precedes and guides specific command issuance</t>
  </si>
  <si>
    <t>Allocation requires awareness of available resources and communication to execute</t>
  </si>
  <si>
    <t>Equal importance in enabling coordinated execution</t>
  </si>
  <si>
    <t>Communication with command centers is essential to inform dynamic reallocation</t>
  </si>
  <si>
    <t>Allocation directs but is dependent on deployment mechanisms</t>
  </si>
  <si>
    <t>Specialized deployment activity guided by broader resource strategy</t>
  </si>
  <si>
    <t>Specific aerial suppression task less strategic than resource planning</t>
  </si>
  <si>
    <t>A logistical function guided by resource planning</t>
  </si>
  <si>
    <t>Maintenance sustains assets needed for allocation, but less dynamic</t>
  </si>
  <si>
    <t>Supports execution, but doesn’t determine dynamic shifts</t>
  </si>
  <si>
    <t>Allocation strategy and crew support equally essential to operational success</t>
  </si>
  <si>
    <t>Issuing commands is a more directive control action, but relies on effective communication to be actionable.</t>
  </si>
  <si>
    <t>Command issuance benefits from consistent asset-to-asset communication to ensure decentralized execution.</t>
  </si>
  <si>
    <t>Commanding assets depends more critically on centralized C3 communication for situational clarity and authority.</t>
  </si>
  <si>
    <t>Deployment precedes and enables command issuance but is operationally distinct from command logic.</t>
  </si>
  <si>
    <t>Commands may direct smokejumper activity, but the specialized nature of deployment is separate from command structure.</t>
  </si>
  <si>
    <t>Commanding MAFFS is a very specific instance of issuing operational instructions—nearly equivalent in function.</t>
  </si>
  <si>
    <t>While necessary for mission readiness, refueling is a support function with indirect connection to command issuance.</t>
  </si>
  <si>
    <t>Maintenance supports asset health but has minimal interaction with active command structures.</t>
  </si>
  <si>
    <t>A logistics task that supports execution but isn’t a direct counterpart to issuing commands.</t>
  </si>
  <si>
    <t>Indirectly influences operational capability, but has limited overlap with the act of commanding.</t>
  </si>
  <si>
    <t>Communicating to specific units is slightly more critical than general inter-asset updates.</t>
  </si>
  <si>
    <t>C3 communication is important, but issuing direct instructions to field resources is slightly more vital.</t>
  </si>
  <si>
    <t>Direct communication to units enables deployment, but the command itself is more important.</t>
  </si>
  <si>
    <t>Direct communication is moderately more important since it enables and guides deployment.</t>
  </si>
  <si>
    <t>Activating air resources requires communication, but coordination takes precedence.</t>
  </si>
  <si>
    <t>Communicating actively to resources is significantly more critical to real-time response.</t>
  </si>
  <si>
    <t>Communication is very strongly more important than maintenance in active response phases.</t>
  </si>
  <si>
    <t>Communication is strongly more important for real-time tactical operations.</t>
  </si>
  <si>
    <t>Communication is moderately more important as it enables logistical coordination.</t>
  </si>
  <si>
    <t>Maintaining communication among assets is slightly less important than between assets and C3, as C3 coordination directs broader operations.</t>
  </si>
  <si>
    <t>Communication among assets is more important as it ensures cohesive action post-deployment.</t>
  </si>
  <si>
    <t>Ensuring communication among already deployed units is slightly more important for real-time tactical adaptation.</t>
  </si>
  <si>
    <t>Maintaining communication supports coordination of airborne and ground suppression once MAFFS is activated.</t>
  </si>
  <si>
    <t>Coordination among assets directly affects real-time operations, which is moderately more critical than refueling support.</t>
  </si>
  <si>
    <t>While MRO ensures long-term readiness, communication ensures short-term operational execution.</t>
  </si>
  <si>
    <t>Communication keeps operations synchronized, which is slightly more important than static resupply.</t>
  </si>
  <si>
    <t>Maintaining coordination in the field during operations is more directly tied to immediate mission success than general logistics.</t>
  </si>
  <si>
    <t>Ground deployment occurs after command &amp; communication structure is established.</t>
  </si>
  <si>
    <t>Communication channels need to be in place before deploying remote/airborne crews.</t>
  </si>
  <si>
    <t>Activating MAFFS relies on pre-existing C3 to coordinate with air traffic and firefighting ops.</t>
  </si>
  <si>
    <t>Refueling logistics are separate but somewhat dependent on coordinated communication.</t>
  </si>
  <si>
    <t>Maintenance operations depend on communication but to a lesser degree than live ops.</t>
  </si>
  <si>
    <t>Supply refills rely on communicated needs but not central to C3 system.</t>
  </si>
  <si>
    <t>C3 precedes and enables logistics deployment to support crews.</t>
  </si>
  <si>
    <t>Ground response is slightly more critical as it often establishes the initial containment perimeter.</t>
  </si>
  <si>
    <t>MAFFS offers large-scale suppression, which is slightly more impactful than ground response alone.</t>
  </si>
  <si>
    <t>Ground response directly fights fire, whereas refueling is a supporting task.</t>
  </si>
  <si>
    <t>Ground response has higher immediate impact on fire containment than maintenance.</t>
  </si>
  <si>
    <t>Initial deployment is more urgent than ongoing resupply tasks.</t>
  </si>
  <si>
    <t>Logistics is necessary for sustainment, but immediate deployment holds higher criticality.</t>
  </si>
  <si>
    <t>Deploy Smokejumpers often access terrain unreachable by MAFFS aircraft, representing a more direct and high-priority engagement.</t>
  </si>
  <si>
    <t>Direct deployment of personnel into wildfires is a more critical and immediate function than logistical refueling.</t>
  </si>
  <si>
    <t>Maintenance supports long-term capability, while deploying smokejumpers addresses acute, time-sensitive needs.</t>
  </si>
  <si>
    <t>While refilling is essential for suppression, smokejumpers are a first-response force for rapid containment.</t>
  </si>
  <si>
    <t>Logistics sustain operations, but smokejumpers engage fires at the frontline, offering direct impact.</t>
  </si>
  <si>
    <t>Both functions support aerial assets, but MAFFS activation is equally critical as refueling for suppression effectiveness.</t>
  </si>
  <si>
    <t>MAFFS provides direct suppression while MRO is indirect; MAFFS is moderately more important.</t>
  </si>
  <si>
    <t>MAFFS enables active fire suppression whereas refill is a support function; thus MAFFS is slightly more important.</t>
  </si>
  <si>
    <t>MAFFS directly contributes to containment, while logistics are background enablers; MAFFS slightly more important.</t>
  </si>
  <si>
    <t>Refueling airborne assets is moderately more critical as it directly enables continued flight operations.</t>
  </si>
  <si>
    <t>Refueling is slightly more immediate than refilling fire retardants due to aircraft operation dependency.</t>
  </si>
  <si>
    <t>Crew support has slightly broader systemic importance compared to refueling alone.</t>
  </si>
  <si>
    <t>MRO ensures readiness and performance of equipment long-term, whereas water/retardant refill is a frequent operational necessity. MRO has slightly more impact on sustained asset utility.</t>
  </si>
  <si>
    <t>While logistics supports personnel well-being, MRO directly sustains asset operability, which has a more direct effect on mission execution.</t>
  </si>
  <si>
    <t>Refilling water and fire retardants is more operationally urgent for direct fire suppression, but logistic support enables sustained operations, so it is slightly less critical.</t>
  </si>
  <si>
    <t>Value</t>
  </si>
  <si>
    <t>Equal Complexity</t>
  </si>
  <si>
    <t>Moderate Complexity</t>
  </si>
  <si>
    <t>Strong Complexity</t>
  </si>
  <si>
    <t>Very Strong Complexity</t>
  </si>
  <si>
    <t>Extreme Complexity</t>
  </si>
  <si>
    <t>Compared Interface</t>
  </si>
  <si>
    <t>Saaty Score</t>
  </si>
  <si>
    <t>Explanation</t>
  </si>
  <si>
    <t>Mass flows are typically more tangible and discrete, while information flows add complexity via routing, interpretation, and latency.</t>
  </si>
  <si>
    <t>Both involve physical interaction; neither is significantly more complex than the other in most scenarios.</t>
  </si>
  <si>
    <t>Energy interfaces require compatibility and continuous management (e.g., power compatibility), making them slightly more complex.</t>
  </si>
  <si>
    <t>Contribution interfaces add semantic and architectural dependencies, introducing more abstract complexity.</t>
  </si>
  <si>
    <t>Co-development requires IP alignment, timeline sync, and architectural integration, adding far more complexity than physical mass transfer.</t>
  </si>
  <si>
    <t>Shared or delegated operations add organizational coordination complexity.</t>
  </si>
  <si>
    <t>Service interfaces involve scheduling, maintenance cycles, and hardware access, which can be more complex than one-way mass flow.</t>
  </si>
  <si>
    <t>A prerequisite is just a sequencing logic and generally simpler than physical exchange interfaces.</t>
  </si>
  <si>
    <t>Cross-domain coordination (timing/location) introduces far more complexity than physical transport.</t>
  </si>
  <si>
    <t>Defining a function's scope/purpose impacts many elements and introduces policy and documentation complexity.</t>
  </si>
  <si>
    <t>Formal contracts embed legal, operational, and financial terms, much more complex than physical delivery.</t>
  </si>
  <si>
    <t>Deliverables can span digital/physical and are often embedded in broader workflows, slightly more complex than mass.</t>
  </si>
  <si>
    <t>1/7</t>
  </si>
  <si>
    <t>Funding agreements span agencies and timelines — significantly more complex than physical exchange.</t>
  </si>
  <si>
    <t>Legal constraints require compliance, oversight, and documentation — much more complex than mass flow.</t>
  </si>
  <si>
    <t>1/9</t>
  </si>
  <si>
    <t>Political interfaces involve stakeholders, power dynamics, and unpredictability — the most complex domain.</t>
  </si>
  <si>
    <t>Information flows are more abstract and often require integration with networks, software, and interpretation layers, adding more complexity than simple physical interfaces.</t>
  </si>
  <si>
    <t>Energy flows require hardware compatibility and continuous delivery, but information interfaces often involve data models, latency, and protocol management.</t>
  </si>
  <si>
    <t>Contributing functions can be abstract, but they usually don't involve the same integration and data processing layers as information interfaces.</t>
  </si>
  <si>
    <t>Co-development introduces architectural integration and long-term complexity, often exceeding that of information flows.</t>
  </si>
  <si>
    <t>Joint or delegated operations involve command, control, and responsibility handoffs, which can exceed the complexity of pure information exchange.</t>
  </si>
  <si>
    <t>Both information and service interfaces depend on timing and access; neither is clearly more complex in all contexts.</t>
  </si>
  <si>
    <t>Sequencing constraints are simple compared to managing data interpretation, latency, and continuous flow.</t>
  </si>
  <si>
    <t>Cross-domain coordination adds dynamic, time-critical complexity that exceeds that of typical data exchange.</t>
  </si>
  <si>
    <t>Defining a function adds institutional, semantic, and structural constraints that often affect downstream systems more than data flow.</t>
  </si>
  <si>
    <t>Contracts include legal and performance implications beyond those of data transmission, making them more complex.</t>
  </si>
  <si>
    <t>Deliverables can be information-based, but are bounded and structured, whereas raw information flow often lacks that clarity.</t>
  </si>
  <si>
    <t>Financial agreements span timelines, stakeholders, and budgets, adding substantially more complexity than data interfaces.</t>
  </si>
  <si>
    <t>Legal interfaces include regulations, enforcement, and compliance structures, making them more complex than data flows.</t>
  </si>
  <si>
    <t>Political dynamics add unpredictability and stakeholder conflicts that far exceed the structured nature of data exchange.</t>
  </si>
  <si>
    <t>Energy transfers require technical compatibility and management of supply continuity, which introduces more complexity than physical co-location or docking.</t>
  </si>
  <si>
    <t>Physical and contribution interfaces can both be foundational but are relatively bounded in scope and complexity.</t>
  </si>
  <si>
    <t>Development interfaces involve long-term co-creation, integration, and architectural dependencies, far more complex than physical proximity.</t>
  </si>
  <si>
    <t>Operations involve real-time control, authority delegation, and task execution complexity beyond mere physical interaction.</t>
  </si>
  <si>
    <t>Service requires access timing, tools, and knowledge for maintenance, which adds a layer of complexity beyond physical interfaces.</t>
  </si>
  <si>
    <t>Sequencing interfaces are logic-based and relatively simple compared to coordinating physical connection or access.</t>
  </si>
  <si>
    <t>Cross-domain synchronization is abstract, continuous, and dynamic—much more complex than physical spatial interaction.</t>
  </si>
  <si>
    <t>Setting definitions affects institutional procedures and information structures, exceeding the static nature of physical interfaces.</t>
  </si>
  <si>
    <t>Formal contracts imply legal, financial, and performance oversight — significantly more complex than physical interfaces.</t>
  </si>
  <si>
    <t>Deliverables are bounded outputs, often integrating multiple flows, and are typically more complex than physical actions alone.</t>
  </si>
  <si>
    <t>Financial interfaces include funding structures, reimbursement, and authority issues—well beyond physical coupling.</t>
  </si>
  <si>
    <t>Legal constraints require compliance and often restrict physical interaction itself, adding significant oversight complexity.</t>
  </si>
  <si>
    <t>Political interfaces introduce authority conflict, stakeholder negotiation, and ambiguity, making them far more complex.</t>
  </si>
  <si>
    <t>Energy and contribution interfaces both support other systems, but energy requires technical integration and reliability management.</t>
  </si>
  <si>
    <t>Co-development introduces long-term architectural, institutional, and scheduling complexity far beyond energy supply interfaces.</t>
  </si>
  <si>
    <t>Operational interfaces involve control, execution, and authority complexity, which is higher than technical power transfer.</t>
  </si>
  <si>
    <t>Service includes diagnostic, scheduling, and physical access complexity, making it somewhat more complex than energy flow.</t>
  </si>
  <si>
    <t>Sequencing interfaces are simpler logic constructs compared to continuous technical energy delivery.</t>
  </si>
  <si>
    <t>Coordinating across domains and timescales introduces dynamic complexity well beyond power provisioning.</t>
  </si>
  <si>
    <t>Defining functional boundaries and performance scope can impact multiple systems and introduce more abstract complexity than energy delivery.</t>
  </si>
  <si>
    <t>Contracts bring in legal, operational, and financial implications, significantly more complex than technical power interfaces.</t>
  </si>
  <si>
    <t>Deliverables often bundle outputs and may involve multiple systems, making them more complex than steady energy exchange.</t>
  </si>
  <si>
    <t>Financial interfaces require budget alignment and authority, adding complexity layers energy transfer lacks.</t>
  </si>
  <si>
    <t>Legal restrictions, enforcement, and liability structures add far more systemic complexity than technical power coupling.</t>
  </si>
  <si>
    <t>Power dynamics, jurisdictional control, and unpredictability in political interfaces vastly exceed technical energy concerns.</t>
  </si>
  <si>
    <t>Development involves co-creation and architectural integration over time, making it significantly more complex than simple functional contribution.</t>
  </si>
  <si>
    <t>Operational interfaces require dynamic execution and shared control, which is more complex than enabling support through contribution.</t>
  </si>
  <si>
    <t>Services involve logistics, maintenance schedules, and system compatibility, which add more complexity than static contribution relationships.</t>
  </si>
  <si>
    <t>Sequencing logic is simpler than a structural or enabling function, making contribution moderately more complex.</t>
  </si>
  <si>
    <t>Coordination requires synchronization across elements, teams, or timelines, making it far more complex than a one-way contribution.</t>
  </si>
  <si>
    <t>Definition impacts purpose, scope, and standardization, introducing higher-level complexity than enabling a function.</t>
  </si>
  <si>
    <t>Contracts embed legal, financial, and operational constraints that exceed the complexity of enabling contribution.</t>
  </si>
  <si>
    <t>Deliverables typically specify timing and format, adding a structured complexity greater than ongoing functional contribution.</t>
  </si>
  <si>
    <t>Financial flows span multiple levels of abstraction — funding, control, and reimbursement — far more complex than functional support.</t>
  </si>
  <si>
    <t>Legal constraints can change over time, limit behavior, and add documentation requirements, which go beyond contributions.</t>
  </si>
  <si>
    <t>Political interfaces involve ambiguity, control struggles, and stakeholder coordination, which are orders of magnitude more complex.</t>
  </si>
  <si>
    <t>Operations involve execution and control, but development involves multi-phase collaboration, technical integration, and long-term co-design, which adds more systemic complexity.</t>
  </si>
  <si>
    <t>While services involve lifecycle management, development introduces strategic and architectural alignment, which is more complex over time.</t>
  </si>
  <si>
    <t>7</t>
  </si>
  <si>
    <t>A prerequisite is a simple temporal logic, while development requires deep integration and planning, making it significantly more complex.</t>
  </si>
  <si>
    <t>Coordination requires dynamic alignment, but development carries multi-stage, multi-stakeholder technical and organizational complexity.</t>
  </si>
  <si>
    <t>Definitions formalize scope and behavior, but development requires execution of that scope collaboratively, which adds implementation complexity.</t>
  </si>
  <si>
    <t>Contracts can enforce and govern development work, and may add compliance and negotiation layers that outpace even technical complexity.</t>
  </si>
  <si>
    <t>A deliverable is a bounded output, while development is iterative, ongoing, and requires feedback, making it structurally more complex.</t>
  </si>
  <si>
    <t>Financial structures can be multi-tiered and politically influenced, sometimes making them even more complex than development agreements.</t>
  </si>
  <si>
    <t>Legal frameworks include enforcement, regulation, and documentation that often span and constrain development itself.</t>
  </si>
  <si>
    <t>Political interfaces are highly unpredictable and involve power struggles, making them more complex than even multilateral development.</t>
  </si>
  <si>
    <t>Service interfaces introduce maintenance scheduling and dependency management, which adds more lifecycle complexity than real-time operations alone.</t>
  </si>
  <si>
    <t>Operations are dynamic and involve decision-making and execution, whereas prerequisites are static temporal conditions.</t>
  </si>
  <si>
    <t>While operations are complex, coordination involves dynamic synchronization across domains, often making it slightly more complex.</t>
  </si>
  <si>
    <t>Definition interfaces determine the scope and control of operations; they shape them but are often more abstract and systemic.</t>
  </si>
  <si>
    <t>Contracts govern who operates what, with embedded legal and financial structures, introducing significantly more oversight complexity.</t>
  </si>
  <si>
    <t>Deliverables and operations are similar in structure and execution demands, with neither clearly more complex in all cases.</t>
  </si>
  <si>
    <t>Financial interfaces involve budget cycles, reimbursements, and governance, far more complex than executing plans.</t>
  </si>
  <si>
    <t>Legal constraints can block, enable, or complicate operations — often introducing layers of complexity beyond tactical execution.</t>
  </si>
  <si>
    <t>Political factors dictate operational authority and can override plans, making them significantly more complex than operational logic.</t>
  </si>
  <si>
    <t>5</t>
  </si>
  <si>
    <t>Prerequisite interfaces are logical orderings, while service interfaces involve lifecycle dependencies, maintenance timing, and platform access, which are significantly more complex.</t>
  </si>
  <si>
    <t>Coordination involves real-time, multi-party alignment, often surpassing the logistical complexity of service activities.</t>
  </si>
  <si>
    <t>Definitions shape expectations, processes, and compliance across systems, introducing abstract and far-reaching complexity compared to service logistics.</t>
  </si>
  <si>
    <t>Contracts embed formal expectations, penalties, and legal boundaries, adding more complexity than routine or scheduled service interactions.</t>
  </si>
  <si>
    <t>Deliverables and services both require timing, quality assurance, and transfer mechanisms, with comparable complexity.</t>
  </si>
  <si>
    <t>Financial interfaces involve budget allocations, cross-jurisdiction agreements, and reimbursement logistics—more complex than service provision.</t>
  </si>
  <si>
    <t>Legal interfaces require compliance with regulatory frameworks and audits, adding complexity far beyond physical maintenance.</t>
  </si>
  <si>
    <t>Political interfaces involve authority negotiations and decision overrides, significantly more complex than executing scheduled services.</t>
  </si>
  <si>
    <t>Coordination involves dynamic task, timing, and spatial alignment, which adds significantly more complexity than static sequencing logic.</t>
  </si>
  <si>
    <t>Definitions set standards and execution rules across organizations, adding more systemic complexity than a simple prerequisite condition.</t>
  </si>
  <si>
    <t>Contracts govern rights, obligations, and penalties, introducing legal and organizational complexity far beyond functional dependencies.</t>
  </si>
  <si>
    <t>Deliverables involve format, content, timing, and quality control, making them moderately more complex than temporal preconditions.</t>
  </si>
  <si>
    <t>Financial agreements span budgeting, reimbursement, and multilateral funding structures, introducing deep systemic complexity.</t>
  </si>
  <si>
    <t>Legal constraints affect compliance, policy interpretation, and enforcement, far more complex than functional logic sequencing.</t>
  </si>
  <si>
    <t>Political interfaces involve authority struggles, prioritization shifts, and jurisdictional disputes—orders of magnitude more complex.</t>
  </si>
  <si>
    <t>Both coordination and definition shape how functions operate—coordination dynamically aligns execution, while definition frames it structurally.</t>
  </si>
  <si>
    <t>Contracts carry legal weight, compliance monitoring, and risk management—adding more complexity than dynamic task alignment.</t>
  </si>
  <si>
    <t>Deliverables are output-specific and bounded, whereas coordination spans timing, location, and interdependencies across systems.</t>
  </si>
  <si>
    <t>Financial structures involve authority, timelines, and often politics—adding deeply embedded complexity compared to synchronization efforts.</t>
  </si>
  <si>
    <t>Legal systems include constraints, enforcement mechanisms, and regulation, introducing more systemic burden than coordination.</t>
  </si>
  <si>
    <t>Political dynamics bring unpredictability, competing interests, and jurisdictional overlays, far more complex than operational coordination.</t>
  </si>
  <si>
    <t>Contracts introduce legal enforceability, obligations, and penalties, making them more complex than the structural role of definitions.</t>
  </si>
  <si>
    <t>Definitions set the scope and frequency of deliverables, but deliverables are bounded tasks, giving definitions more systemic influence.</t>
  </si>
  <si>
    <t>Financial interfaces involve multi-party funding flows and controls—more layered and bureaucratic than scope-setting definitions.</t>
  </si>
  <si>
    <t>Legal interfaces carry regulatory enforcement, which can override or restrict definitions and create institutional complexity.</t>
  </si>
  <si>
    <t>Political interfaces introduce dynamic and unpredictable authority conflicts that far exceed the procedural role of definitions.</t>
  </si>
  <si>
    <t>Contracts define expectations, timelines, penalties, and enforcement, which makes them more complex than bounded output-based deliverables.</t>
  </si>
  <si>
    <t>Financial interfaces can be more complex due to budget cycles, cost-sharing arrangements, and reimbursement procedures crossing agencies and fiscal systems.</t>
  </si>
  <si>
    <t>While contracts may be legally binding, legal interfaces span laws, enforcement, and compliance audits—often more systemically complex.</t>
  </si>
  <si>
    <t>Political interfaces involve stakeholder power, negotiations, and external overrides, making them significantly more complex than contractual agreements.</t>
  </si>
  <si>
    <t>Financial interfaces involve funding cycles, cost allocation, and reimbursement protocols, which generally introduce more systemic complexity than producing and transferring deliverables.</t>
  </si>
  <si>
    <t>Legal interfaces require compliance, monitoring, enforcement, and interpretation—far beyond the scope of routine output delivery.</t>
  </si>
  <si>
    <t>Political interfaces involve jurisdictional control, authority struggles, and shifting stakeholder influence, making them significantly more complex than deliverable handoffs.</t>
  </si>
  <si>
    <t>Political interfaces add instability, jurisdictional overlap, and stakeholder-driven conflict, making them significantly more complex than financial structures.</t>
  </si>
  <si>
    <t>Legal interfaces include regulatory enforcement and compliance regimes that often govern financial mechanisms, making them slightly more complex.</t>
  </si>
  <si>
    <t>Legal interfaces are structured around defined rules and compliance processes, while political interfaces introduce uncertainty, stakeholder conflict, and dynamic jurisdictional challenges—making them more complex overall.</t>
  </si>
  <si>
    <t>Interface</t>
  </si>
  <si>
    <t>Complexity "Importance"</t>
  </si>
  <si>
    <t>Subsystem Count</t>
  </si>
  <si>
    <t>Deployment Burden</t>
  </si>
  <si>
    <t>Operational Flexibility</t>
  </si>
  <si>
    <t>Maintenance Demands</t>
  </si>
  <si>
    <t>Autonomy/Supervision Required</t>
  </si>
  <si>
    <t>Cognitive Load</t>
  </si>
  <si>
    <t>Temporal Criticality</t>
  </si>
  <si>
    <t>Interdependency/Process Coupling</t>
  </si>
  <si>
    <t>Execution Steps</t>
  </si>
  <si>
    <t>Resource Footprint</t>
  </si>
  <si>
    <t>Operational Risk</t>
  </si>
  <si>
    <t>Jurisdictional Breadth</t>
  </si>
  <si>
    <t>Coordination Span</t>
  </si>
  <si>
    <t>Mandate Breadth</t>
  </si>
  <si>
    <t>Resource Management Burden</t>
  </si>
  <si>
    <t>Policy/Political Sensitivity</t>
  </si>
  <si>
    <t>Element Type</t>
  </si>
  <si>
    <t>Metric</t>
  </si>
  <si>
    <t>Description</t>
  </si>
  <si>
    <t>Structural</t>
  </si>
  <si>
    <t>Number and diversity of onboard subsystems (avionics, propulsion, sensors, etc.). More = higher complexity.</t>
  </si>
  <si>
    <t>Difficulty in deploying or positioning the asset (e.g., launch, airlift, driving terrain).</t>
  </si>
  <si>
    <t>Number of distinct roles it can fulfill (e.g., surveillance, suppression, transport).</t>
  </si>
  <si>
    <t>Frequency, difficulty, and time required for upkeep or repair.</t>
  </si>
  <si>
    <t>Logistics of keeping the asset mission-ready (e.g., fueling, retardant loading).</t>
  </si>
  <si>
    <t>Autonomy / Supervision Requirement</t>
  </si>
  <si>
    <t>Level of human supervision or remote control required (e.g., satellite = low, drone = high).</t>
  </si>
  <si>
    <t>Functional</t>
  </si>
  <si>
    <t>Complexity of human decision-making or judgment needed to perform the task.</t>
  </si>
  <si>
    <t>How time-sensitive the function is for mission success (e.g., suppression vs. comms).</t>
  </si>
  <si>
    <t>Interdependency / Process Coupling</t>
  </si>
  <si>
    <t>Degree of dependency on other functions to execute effectively.</t>
  </si>
  <si>
    <t>Number of steps, phases, or sub-functions involved.</t>
  </si>
  <si>
    <t>Quantity and diversity of assets required (e.g., aircraft, personnel, data links).</t>
  </si>
  <si>
    <t>Potential for failure or degradation to cascade or disrupt broader ops.</t>
  </si>
  <si>
    <t>Organizational</t>
  </si>
  <si>
    <t>Number of regions/domains (local/state/federal/international) the org operates in.</t>
  </si>
  <si>
    <t>Number and diversity of actors it must coordinate with regularly.</t>
  </si>
  <si>
    <t>Legal/Bureaucratic Constraints</t>
  </si>
  <si>
    <t>Internal procedures, oversight, red tape that delay or limit responsiveness.</t>
  </si>
  <si>
    <t>Number and diversity of functions/roles it is responsible for.</t>
  </si>
  <si>
    <t>Scale and diversity of assets/funding it oversees.</t>
  </si>
  <si>
    <t>Policy / Political Sensitivity</t>
  </si>
  <si>
    <t>Likelihood of decisions being constrained or delayed by political oversight.</t>
  </si>
  <si>
    <t>Activation / Response Latency</t>
  </si>
  <si>
    <t>Time and effort required to mobilize the organization into active operations.</t>
  </si>
  <si>
    <t>Refueling / Replenishment Burden</t>
  </si>
  <si>
    <t>Refuel/Replenish Burden</t>
  </si>
  <si>
    <t>Activation/Response Latency</t>
  </si>
  <si>
    <t>Relative Importance</t>
  </si>
  <si>
    <t>Very Large Air Tankers</t>
  </si>
  <si>
    <t>Large Air Tankers</t>
  </si>
  <si>
    <t>Single Engine Airtankers</t>
  </si>
  <si>
    <t>Water Scoopers</t>
  </si>
  <si>
    <t>Military Airborne Firefighting System</t>
  </si>
  <si>
    <t>Helicopters Type I</t>
  </si>
  <si>
    <t>Helicopters Type II</t>
  </si>
  <si>
    <t>Helicopters Type III</t>
  </si>
  <si>
    <t>Tactical Lead Planes</t>
  </si>
  <si>
    <t>Air Attack Group Supervisor (AAGS)</t>
  </si>
  <si>
    <t>Smokejumper Aircraft</t>
  </si>
  <si>
    <t>Tactical UAS</t>
  </si>
  <si>
    <t>HAPS</t>
  </si>
  <si>
    <t>EO Satellites (OroraTech)</t>
  </si>
  <si>
    <t>Weather Satellites (GOES-16/GOES-18)</t>
  </si>
  <si>
    <t>Comms Satellites (Iridium)</t>
  </si>
  <si>
    <t>Satellite Imagery Systems (VIIRS Pipeline)</t>
  </si>
  <si>
    <t>Fire Engines</t>
  </si>
  <si>
    <t>Airbase Support Systems</t>
  </si>
  <si>
    <t>C3 Systems</t>
  </si>
  <si>
    <t>Federal Emergency Management Agency</t>
  </si>
  <si>
    <t>National Interagency Fire Center</t>
  </si>
  <si>
    <t>Environmental Protection Agency</t>
  </si>
  <si>
    <t>Military Organizations (US National Guard/DOD)</t>
  </si>
  <si>
    <t>Manufacturers Of VLAT/LAT</t>
  </si>
  <si>
    <t>Manufacturers Of Lead Plane &amp; AAGS</t>
  </si>
  <si>
    <t>Satellite Manufacturers</t>
  </si>
  <si>
    <t>UAS Manufacturers</t>
  </si>
  <si>
    <t>C3 Systems Suppliers</t>
  </si>
  <si>
    <t>Communication Systems Suppliers</t>
  </si>
  <si>
    <t>Geospatial Information System Companies</t>
  </si>
  <si>
    <t>Cloud Service Providers</t>
  </si>
  <si>
    <t>Firefighting Equipment Suppliers</t>
  </si>
  <si>
    <t>Fire Engines Manufacturers</t>
  </si>
  <si>
    <t>US Forest Service</t>
  </si>
  <si>
    <t>Bureau Of Land Management (BLM)</t>
  </si>
  <si>
    <t>National Park Service (NPS)</t>
  </si>
  <si>
    <t>US Fish &amp; Wildlife Services (USFWS)</t>
  </si>
  <si>
    <t>Bureau Of Indian Affairs (BIA)</t>
  </si>
  <si>
    <t>US Department of Defense (DOD)</t>
  </si>
  <si>
    <t>Local Fire Departments</t>
  </si>
  <si>
    <t>Volunteer Firefighting Organizations</t>
  </si>
  <si>
    <t>Private Aircraft Operators</t>
  </si>
  <si>
    <t>National Weather Service (NWS)</t>
  </si>
  <si>
    <t>National Oceanic &amp; Atmospheric Admin (NOAA)</t>
  </si>
  <si>
    <t>FAA</t>
  </si>
  <si>
    <t>State Governors' Offices</t>
  </si>
  <si>
    <t>Provincial Emergency Agencies (e.g., Ontario EMO)</t>
  </si>
  <si>
    <t>Canadian Interagency Forest Fire Centre (CIFFC)</t>
  </si>
  <si>
    <t>Global Affairs Canada</t>
  </si>
  <si>
    <t>U.S. Department of State</t>
  </si>
  <si>
    <t>U.S. Federal Government</t>
  </si>
  <si>
    <t>Government of Canada</t>
  </si>
  <si>
    <t>Ranking</t>
  </si>
  <si>
    <t>Weights</t>
  </si>
  <si>
    <t>Response Time</t>
  </si>
  <si>
    <t>Resolution Time</t>
  </si>
  <si>
    <t>Detection Time</t>
  </si>
  <si>
    <t>Interdomain Coordination Latency</t>
  </si>
  <si>
    <t>Fire Supression Cost Efficiency</t>
  </si>
  <si>
    <t>CO2 Emissions</t>
  </si>
  <si>
    <t>California Fire</t>
  </si>
  <si>
    <t>Underdeveloped Country Fire</t>
  </si>
  <si>
    <t>International Collaboration Fire</t>
  </si>
  <si>
    <t>Operational Availability</t>
  </si>
  <si>
    <t>Total Cost</t>
  </si>
  <si>
    <t>Burn Burden</t>
  </si>
  <si>
    <t>High Resource Fire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</si>
</sst>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"/>
    <numFmt numFmtId="165" formatCode="0.000"/>
  </numFmts>
  <fonts count="6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8"/>
      <name val="Calibri"/>
      <family val="2"/>
      <scheme val="minor"/>
    </font>
    <font>
      <b/>
      <sz val="11"/>
      <name val="Calibri"/>
      <family val="2"/>
    </font>
  </fonts>
  <fills count="19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theme="4" tint="0.59999389629810485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BDD7EE"/>
        <bgColor indexed="64"/>
      </patternFill>
    </fill>
    <fill>
      <patternFill patternType="solid">
        <fgColor rgb="FFCEF6CE"/>
        <bgColor indexed="64"/>
      </patternFill>
    </fill>
    <fill>
      <patternFill patternType="solid">
        <fgColor rgb="FFF4CCCC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</borders>
  <cellStyleXfs count="1">
    <xf numFmtId="0" fontId="0" fillId="0" borderId="0"/>
  </cellStyleXfs>
  <cellXfs count="6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0" fillId="4" borderId="1" xfId="0" applyFill="1" applyBorder="1" applyAlignment="1">
      <alignment textRotation="90"/>
    </xf>
    <xf numFmtId="0" fontId="0" fillId="2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/>
    <xf numFmtId="0" fontId="0" fillId="6" borderId="0" xfId="0" applyFill="1"/>
    <xf numFmtId="0" fontId="2" fillId="7" borderId="3" xfId="0" applyFont="1" applyFill="1" applyBorder="1" applyAlignment="1">
      <alignment horizontal="center"/>
    </xf>
    <xf numFmtId="0" fontId="0" fillId="6" borderId="1" xfId="0" applyFill="1" applyBorder="1" applyAlignment="1">
      <alignment horizontal="center" vertic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6" borderId="1" xfId="0" applyFill="1" applyBorder="1"/>
    <xf numFmtId="0" fontId="0" fillId="5" borderId="1" xfId="0" applyFill="1" applyBorder="1"/>
    <xf numFmtId="0" fontId="2" fillId="2" borderId="1" xfId="0" applyFont="1" applyFill="1" applyBorder="1"/>
    <xf numFmtId="0" fontId="2" fillId="0" borderId="0" xfId="0" applyFont="1"/>
    <xf numFmtId="0" fontId="2" fillId="0" borderId="1" xfId="0" applyFont="1" applyBorder="1" applyAlignment="1">
      <alignment horizontal="center" vertical="top"/>
    </xf>
    <xf numFmtId="0" fontId="0" fillId="9" borderId="1" xfId="0" applyFill="1" applyBorder="1"/>
    <xf numFmtId="0" fontId="0" fillId="10" borderId="1" xfId="0" applyFill="1" applyBorder="1"/>
    <xf numFmtId="0" fontId="0" fillId="11" borderId="1" xfId="0" applyFill="1" applyBorder="1"/>
    <xf numFmtId="0" fontId="2" fillId="4" borderId="1" xfId="0" applyFont="1" applyFill="1" applyBorder="1" applyAlignment="1">
      <alignment horizontal="center" vertical="top"/>
    </xf>
    <xf numFmtId="0" fontId="2" fillId="8" borderId="1" xfId="0" applyFont="1" applyFill="1" applyBorder="1"/>
    <xf numFmtId="0" fontId="2" fillId="4" borderId="1" xfId="0" applyFont="1" applyFill="1" applyBorder="1"/>
    <xf numFmtId="0" fontId="0" fillId="0" borderId="1" xfId="0" applyBorder="1" applyAlignment="1">
      <alignment horizontal="left"/>
    </xf>
    <xf numFmtId="0" fontId="2" fillId="0" borderId="1" xfId="0" applyFont="1" applyBorder="1" applyAlignment="1">
      <alignment horizontal="left" vertical="top"/>
    </xf>
    <xf numFmtId="0" fontId="0" fillId="0" borderId="0" xfId="0" applyAlignment="1">
      <alignment vertical="top"/>
    </xf>
    <xf numFmtId="0" fontId="0" fillId="0" borderId="1" xfId="0" applyBorder="1" applyAlignment="1">
      <alignment vertical="top"/>
    </xf>
    <xf numFmtId="0" fontId="5" fillId="0" borderId="1" xfId="0" applyFont="1" applyBorder="1" applyAlignment="1">
      <alignment horizontal="center" vertical="top"/>
    </xf>
    <xf numFmtId="0" fontId="0" fillId="5" borderId="11" xfId="0" applyFill="1" applyBorder="1"/>
    <xf numFmtId="164" fontId="0" fillId="0" borderId="1" xfId="0" applyNumberFormat="1" applyBorder="1"/>
    <xf numFmtId="0" fontId="5" fillId="0" borderId="0" xfId="0" applyFont="1"/>
    <xf numFmtId="0" fontId="0" fillId="12" borderId="13" xfId="0" applyFill="1" applyBorder="1"/>
    <xf numFmtId="0" fontId="0" fillId="13" borderId="13" xfId="0" applyFill="1" applyBorder="1"/>
    <xf numFmtId="0" fontId="0" fillId="12" borderId="12" xfId="0" applyFill="1" applyBorder="1"/>
    <xf numFmtId="0" fontId="0" fillId="13" borderId="12" xfId="0" applyFill="1" applyBorder="1"/>
    <xf numFmtId="0" fontId="0" fillId="8" borderId="1" xfId="0" applyFill="1" applyBorder="1"/>
    <xf numFmtId="0" fontId="2" fillId="14" borderId="1" xfId="0" applyFont="1" applyFill="1" applyBorder="1"/>
    <xf numFmtId="0" fontId="0" fillId="15" borderId="1" xfId="0" applyFill="1" applyBorder="1"/>
    <xf numFmtId="0" fontId="0" fillId="0" borderId="0" xfId="0" applyAlignment="1">
      <alignment textRotation="90"/>
    </xf>
    <xf numFmtId="0" fontId="0" fillId="0" borderId="1" xfId="0" applyBorder="1" applyAlignment="1">
      <alignment horizontal="center"/>
    </xf>
    <xf numFmtId="165" fontId="0" fillId="5" borderId="1" xfId="0" applyNumberFormat="1" applyFill="1" applyBorder="1"/>
    <xf numFmtId="165" fontId="0" fillId="0" borderId="1" xfId="0" applyNumberFormat="1" applyBorder="1"/>
    <xf numFmtId="0" fontId="5" fillId="16" borderId="0" xfId="0" applyFont="1" applyFill="1"/>
    <xf numFmtId="0" fontId="5" fillId="17" borderId="0" xfId="0" applyFont="1" applyFill="1"/>
    <xf numFmtId="0" fontId="5" fillId="18" borderId="0" xfId="0" applyFont="1" applyFill="1"/>
    <xf numFmtId="0" fontId="2" fillId="5" borderId="1" xfId="0" applyFont="1" applyFill="1" applyBorder="1"/>
    <xf numFmtId="0" fontId="2" fillId="6" borderId="1" xfId="0" applyFont="1" applyFill="1" applyBorder="1"/>
    <xf numFmtId="2" fontId="0" fillId="6" borderId="1" xfId="0" applyNumberFormat="1" applyFill="1" applyBorder="1"/>
    <xf numFmtId="2" fontId="0" fillId="5" borderId="1" xfId="0" applyNumberFormat="1" applyFill="1" applyBorder="1"/>
    <xf numFmtId="0" fontId="2" fillId="4" borderId="10" xfId="0" applyFont="1" applyFill="1" applyBorder="1" applyAlignment="1">
      <alignment horizontal="center"/>
    </xf>
    <xf numFmtId="0" fontId="0" fillId="0" borderId="11" xfId="0" applyBorder="1"/>
    <xf numFmtId="3" fontId="0" fillId="5" borderId="11" xfId="0" applyNumberFormat="1" applyFill="1" applyBorder="1"/>
    <xf numFmtId="2" fontId="0" fillId="2" borderId="1" xfId="0" applyNumberFormat="1" applyFill="1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2" fontId="0" fillId="0" borderId="1" xfId="0" applyNumberFormat="1" applyBorder="1"/>
    <xf numFmtId="2" fontId="0" fillId="6" borderId="1" xfId="0" applyNumberFormat="1" applyFill="1" applyBorder="1" applyAlignment="1">
      <alignment horizontal="center" vertical="center"/>
    </xf>
    <xf numFmtId="2" fontId="0" fillId="5" borderId="11" xfId="0" applyNumberFormat="1" applyFill="1" applyBorder="1"/>
    <xf numFmtId="2" fontId="0" fillId="0" borderId="0" xfId="0" applyNumberFormat="1"/>
    <xf numFmtId="2" fontId="1" fillId="3" borderId="1" xfId="0" applyNumberFormat="1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/>
    </xf>
    <xf numFmtId="0" fontId="2" fillId="2" borderId="8" xfId="0" applyFont="1" applyFill="1" applyBorder="1" applyAlignment="1">
      <alignment horizontal="center"/>
    </xf>
    <xf numFmtId="0" fontId="0" fillId="0" borderId="1" xfId="0" applyBorder="1" applyAlignment="1">
      <alignment horizontal="left" wrapText="1"/>
    </xf>
    <xf numFmtId="0" fontId="0" fillId="0" borderId="10" xfId="0" applyBorder="1" applyAlignment="1">
      <alignment horizontal="left" wrapText="1"/>
    </xf>
    <xf numFmtId="0" fontId="3" fillId="0" borderId="9" xfId="0" applyFont="1" applyBorder="1" applyAlignment="1">
      <alignment horizontal="left" wrapText="1"/>
    </xf>
  </cellXfs>
  <cellStyles count="1">
    <cellStyle name="Normal" xfId="0" builtinId="0"/>
  </cellStyles>
  <dxfs count="90"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63" Type="http://schemas.openxmlformats.org/officeDocument/2006/relationships/customXml" Target="../customXml/item2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61" Type="http://schemas.openxmlformats.org/officeDocument/2006/relationships/calcChain" Target="calcChain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theme" Target="theme/theme1.xml"/><Relationship Id="rId64" Type="http://schemas.openxmlformats.org/officeDocument/2006/relationships/customXml" Target="../customXml/item3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sheetMetadata" Target="metadata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styles" Target="styles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145676</xdr:colOff>
      <xdr:row>40</xdr:row>
      <xdr:rowOff>78441</xdr:rowOff>
    </xdr:from>
    <xdr:to>
      <xdr:col>19</xdr:col>
      <xdr:colOff>167495</xdr:colOff>
      <xdr:row>52</xdr:row>
      <xdr:rowOff>153890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ADF2FE6-C455-B350-4907-C9602B710D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555941" y="14657294"/>
          <a:ext cx="7608201" cy="2361449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C8FA4C4C-31D3-48C6-A7EE-972A25A5C553}" name="FinancialComparisonFixed" displayName="FinancialComparisonFixed" ref="A1:C3" headerRowDxfId="89" dataDxfId="88" totalsRowDxfId="87">
  <autoFilter ref="A1:C3" xr:uid="{C8FA4C4C-31D3-48C6-A7EE-972A25A5C553}"/>
  <tableColumns count="3">
    <tableColumn id="1" xr3:uid="{7757C557-9DC0-4672-82E1-C1D25D6628F7}" name="Compared Interface" dataDxfId="86"/>
    <tableColumn id="2" xr3:uid="{51449A67-0770-4C18-BC27-BAD6E5EF168F}" name="Saaty Score" dataDxfId="85"/>
    <tableColumn id="3" xr3:uid="{DE08FABD-6F4F-4140-8BCC-AB1D841A164E}" name="Explanation" dataDxfId="84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0AA2C998-0A13-4BAC-8097-AFB0A559D25F}" name="LegalComparison" displayName="LegalComparison" ref="A1:C2" headerRowDxfId="83" dataDxfId="82" totalsRowDxfId="81">
  <autoFilter ref="A1:C2" xr:uid="{0AA2C998-0A13-4BAC-8097-AFB0A559D25F}"/>
  <tableColumns count="3">
    <tableColumn id="1" xr3:uid="{9097B237-D695-4DCB-9950-2E6F72085DBA}" name="Compared Interface" dataDxfId="80"/>
    <tableColumn id="2" xr3:uid="{7D2E103C-5DEF-4BEF-A011-C09D0966188C}" name="Saaty Score" dataDxfId="79"/>
    <tableColumn id="3" xr3:uid="{3DE564C3-074C-4F86-93BA-51CA6EA47ADB}" name="Explanation" dataDxfId="78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42154ADA-1F4D-46FC-B6A5-163D4CDEEF5D}" name="OperationComparison" displayName="OperationComparison" ref="A1:C10" headerRowDxfId="77" dataDxfId="76" totalsRowDxfId="75">
  <autoFilter ref="A1:C10" xr:uid="{42154ADA-1F4D-46FC-B6A5-163D4CDEEF5D}"/>
  <tableColumns count="3">
    <tableColumn id="1" xr3:uid="{834585D4-4F2D-453D-9620-116B3B07576B}" name="Compared Interface" dataDxfId="74"/>
    <tableColumn id="2" xr3:uid="{1C7AF74D-2377-4098-A63C-E5AC2C4EBF2C}" name="Saaty Score" dataDxfId="73"/>
    <tableColumn id="3" xr3:uid="{C61C3EE3-B7AF-47A7-8AFB-CF6281A9CA4D}" name="Explanation" dataDxfId="72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E11DA3E5-0DA2-404E-B5E8-D4749CF9F04B}" name="ServiceComparison" displayName="ServiceComparison" ref="A1:C9" headerRowDxfId="71" dataDxfId="70" totalsRowDxfId="69">
  <autoFilter ref="A1:C9" xr:uid="{E11DA3E5-0DA2-404E-B5E8-D4749CF9F04B}"/>
  <tableColumns count="3">
    <tableColumn id="1" xr3:uid="{46EE9B06-3512-4B2C-B453-53519A845FE4}" name="Compared Interface" dataDxfId="68"/>
    <tableColumn id="2" xr3:uid="{89732937-7119-43FB-B40F-060739237395}" name="Saaty Score" dataDxfId="67"/>
    <tableColumn id="3" xr3:uid="{B7C6EBB4-0624-460C-B516-F07281D976D0}" name="Explanation" dataDxfId="66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7F45A41D-8245-4E25-ADCE-2E5501C08DCB}" name="PrerequisiteComparison" displayName="PrerequisiteComparison" ref="A1:C8" headerRowDxfId="65" dataDxfId="64" totalsRowDxfId="63">
  <autoFilter ref="A1:C8" xr:uid="{7F45A41D-8245-4E25-ADCE-2E5501C08DCB}"/>
  <tableColumns count="3">
    <tableColumn id="1" xr3:uid="{4093E8C8-E06C-4729-93C3-2B3C874B6D57}" name="Compared Interface" dataDxfId="62"/>
    <tableColumn id="2" xr3:uid="{8648993D-E4C4-402D-B546-0ECB3CB11100}" name="Saaty Score" dataDxfId="61"/>
    <tableColumn id="3" xr3:uid="{DA4A815C-87EC-43C1-A865-4E2A152BCC60}" name="Explanation" dataDxfId="60"/>
  </tableColumns>
  <tableStyleInfo name="TableStyleMedium9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60940015-1136-43DE-850D-8A998B36140D}" name="CoordinationComparison" displayName="CoordinationComparison" ref="A1:C7" headerRowDxfId="59" dataDxfId="58" totalsRowDxfId="57">
  <autoFilter ref="A1:C7" xr:uid="{60940015-1136-43DE-850D-8A998B36140D}"/>
  <tableColumns count="3">
    <tableColumn id="1" xr3:uid="{E2ED224B-C2FD-4844-B848-4A7CC7A338EE}" name="Compared Interface" dataDxfId="56"/>
    <tableColumn id="2" xr3:uid="{A9929B25-7C01-4BD9-824E-1FC30690FD2A}" name="Saaty Score" dataDxfId="55"/>
    <tableColumn id="3" xr3:uid="{6A942EA3-5FB2-4633-81AE-D599105DE212}" name="Explanation" dataDxfId="54"/>
  </tableColumns>
  <tableStyleInfo name="TableStyleMedium9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254D2E72-CB45-4031-8C1A-4272E7F4C7CA}" name="DefinitionComparison" displayName="DefinitionComparison" ref="A1:C6" headerRowDxfId="53" dataDxfId="52" totalsRowDxfId="51">
  <autoFilter ref="A1:C6" xr:uid="{254D2E72-CB45-4031-8C1A-4272E7F4C7CA}"/>
  <tableColumns count="3">
    <tableColumn id="1" xr3:uid="{1FCD9B1E-6287-4187-B0D0-30E8FE94BDB1}" name="Compared Interface" dataDxfId="50"/>
    <tableColumn id="2" xr3:uid="{043E2F70-C946-4201-A6B9-3DA2DCAABE8C}" name="Saaty Score" dataDxfId="49"/>
    <tableColumn id="3" xr3:uid="{31347604-8F2F-4DC9-84A7-28A6ECE3EC5F}" name="Explanation" dataDxfId="48"/>
  </tableColumns>
  <tableStyleInfo name="TableStyleMedium9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1F37185D-0219-43A7-958B-A62A03EEC988}" name="ContractualComparison" displayName="ContractualComparison" ref="A1:C5" headerRowDxfId="47" dataDxfId="46" totalsRowDxfId="45">
  <autoFilter ref="A1:C5" xr:uid="{1F37185D-0219-43A7-958B-A62A03EEC988}"/>
  <tableColumns count="3">
    <tableColumn id="1" xr3:uid="{C4A7D3CB-6293-4934-A1E2-4A533346F34E}" name="Compared Interface" dataDxfId="44"/>
    <tableColumn id="2" xr3:uid="{B9DA7DA7-65BE-43FE-B226-5F9638E2B12F}" name="Saaty Score" dataDxfId="43"/>
    <tableColumn id="3" xr3:uid="{130EB1FA-4258-415E-B732-307F618074A9}" name="Explanation" dataDxfId="42"/>
  </tableColumns>
  <tableStyleInfo name="TableStyleMedium9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F56AB17C-3031-48F1-A1CD-328D51A72FD7}" name="EnergyComparison" displayName="EnergyComparison" ref="A1:C13" headerRowDxfId="41" dataDxfId="40" totalsRowDxfId="39">
  <autoFilter ref="A1:C13" xr:uid="{F56AB17C-3031-48F1-A1CD-328D51A72FD7}"/>
  <tableColumns count="3">
    <tableColumn id="1" xr3:uid="{D9AD7878-4853-41DC-984D-60583BCC26BF}" name="Compared Interface" dataDxfId="38"/>
    <tableColumn id="2" xr3:uid="{05A16DD0-BA40-41AB-B974-86B2DA98177D}" name="Saaty Score" dataDxfId="37"/>
    <tableColumn id="3" xr3:uid="{6FEA2880-94E8-4E85-B062-52986DE93449}" name="Explanation" dataDxfId="36"/>
  </tableColumns>
  <tableStyleInfo name="TableStyleMedium9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8461CDB3-779D-4F15-AAF8-AB5A52D39D64}" name="ContributionComparison" displayName="ContributionComparison" ref="A1:C12" headerRowDxfId="35" dataDxfId="34" totalsRowDxfId="33">
  <autoFilter ref="A1:C12" xr:uid="{8461CDB3-779D-4F15-AAF8-AB5A52D39D64}"/>
  <tableColumns count="3">
    <tableColumn id="1" xr3:uid="{E6501768-B2B0-40B8-A731-60C5ED11B4D6}" name="Compared Interface" dataDxfId="32"/>
    <tableColumn id="2" xr3:uid="{A7A398CA-3749-4667-8B15-B0E89F707AFD}" name="Saaty Score" dataDxfId="31"/>
    <tableColumn id="3" xr3:uid="{79E2004F-75E3-4CAD-9DD5-CC076D1E9C63}" name="Explanation" dataDxfId="30"/>
  </tableColumns>
  <tableStyleInfo name="TableStyleMedium9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70691951-BAFC-412C-9A6D-2FEE2CB480D0}" name="DevelopmentComparison" displayName="DevelopmentComparison" ref="A1:C11" headerRowDxfId="29" dataDxfId="28" totalsRowDxfId="27">
  <autoFilter ref="A1:C11" xr:uid="{70691951-BAFC-412C-9A6D-2FEE2CB480D0}"/>
  <tableColumns count="3">
    <tableColumn id="1" xr3:uid="{EC68D847-FBD3-45B3-A621-85E06F63601B}" name="Compared Interface" dataDxfId="26"/>
    <tableColumn id="2" xr3:uid="{110809BD-40D5-44FE-A55B-F1FABCB963C0}" name="Saaty Score" dataDxfId="25"/>
    <tableColumn id="3" xr3:uid="{51690A58-CFA9-46C4-A28C-A94A54FBB973}" name="Explanation" dataDxfId="24"/>
  </tableColumns>
  <tableStyleInfo name="TableStyleMedium9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5A0BF00-11A4-489F-94B2-B8AF2A146F0D}" name="MassComparison" displayName="MassComparison" ref="A1:C16" headerRowDxfId="23" dataDxfId="22" totalsRowDxfId="21">
  <autoFilter ref="A1:C16" xr:uid="{F5A0BF00-11A4-489F-94B2-B8AF2A146F0D}"/>
  <tableColumns count="3">
    <tableColumn id="1" xr3:uid="{D2AEA672-1360-426A-A6DA-14F1C80EFEFB}" name="Compared Interface" dataDxfId="20"/>
    <tableColumn id="2" xr3:uid="{3F2AF142-FCD7-4F8D-959F-44E98257ED07}" name="Saaty Score" dataDxfId="19"/>
    <tableColumn id="3" xr3:uid="{A6025814-5A2E-41BA-A76B-4B01CD0CA989}" name="Explanation" dataDxfId="18"/>
  </tableColumns>
  <tableStyleInfo name="TableStyleMedium9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C6957E4-4234-4216-82A1-6DB3E6BF59E2}" name="InfoComparison" displayName="InfoComparison" ref="A1:C15" headerRowDxfId="17" dataDxfId="16" totalsRowDxfId="15">
  <autoFilter ref="A1:C15" xr:uid="{FC6957E4-4234-4216-82A1-6DB3E6BF59E2}"/>
  <tableColumns count="3">
    <tableColumn id="1" xr3:uid="{CB6C6F09-3066-44F4-B9F7-8B13BAA1472F}" name="Compared Interface" dataDxfId="14"/>
    <tableColumn id="2" xr3:uid="{3FBEBDFB-89F8-4597-8356-3E0504EFA4BA}" name="Saaty Score" dataDxfId="13"/>
    <tableColumn id="3" xr3:uid="{6D9A2788-8D0C-4217-86D4-9BD001B9705E}" name="Explanation" dataDxfId="12"/>
  </tableColumns>
  <tableStyleInfo name="TableStyleMedium9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7F6E5F3B-8D0C-44C1-BAE7-01F9D7D9AF1E}" name="PhysicalComparison" displayName="PhysicalComparison" ref="A1:C14" headerRowDxfId="11" dataDxfId="10" totalsRowDxfId="9">
  <autoFilter ref="A1:C14" xr:uid="{7F6E5F3B-8D0C-44C1-BAE7-01F9D7D9AF1E}"/>
  <tableColumns count="3">
    <tableColumn id="1" xr3:uid="{8D13CDFC-84CD-4702-BCAC-0D0C76C82743}" name="Compared Interface" dataDxfId="8"/>
    <tableColumn id="2" xr3:uid="{FB095DB2-0FA9-41EF-AFD7-C74F2D4E5A47}" name="Saaty Score" dataDxfId="7"/>
    <tableColumn id="3" xr3:uid="{B601A042-1F71-4B52-8AAB-078CB4DB833E}" name="Explanation" dataDxfId="6"/>
  </tableColumns>
  <tableStyleInfo name="TableStyleMedium9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15199B12-8C83-47D5-881A-05C6F6AE8E8E}" name="DeliverableComparison" displayName="DeliverableComparison" ref="A1:C4" headerRowDxfId="5" dataDxfId="4" totalsRowDxfId="3">
  <autoFilter ref="A1:C4" xr:uid="{15199B12-8C83-47D5-881A-05C6F6AE8E8E}"/>
  <tableColumns count="3">
    <tableColumn id="1" xr3:uid="{E155DED8-CEFC-44AF-B076-797BEA74CEFA}" name="Compared Interface" dataDxfId="2"/>
    <tableColumn id="2" xr3:uid="{DA9C340B-E459-4C26-A553-CE8BF024085A}" name="Saaty Score" dataDxfId="1"/>
    <tableColumn id="3" xr3:uid="{434F05D2-FF70-4AF8-9DC5-018C2389A251}" name="Explanation" dataDxfId="0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4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5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FE75D5-A82F-410F-8710-8F071FA86C4F}">
  <dimension ref="A1:J94"/>
  <sheetViews>
    <sheetView tabSelected="1" topLeftCell="A28" zoomScaleNormal="100" workbookViewId="0">
      <selection activeCell="A59" sqref="A1:I1048576"/>
    </sheetView>
  </sheetViews>
  <sheetFormatPr defaultRowHeight="15" x14ac:dyDescent="0.25"/>
  <cols>
    <col min="1" max="1" width="62.28515625" bestFit="1" customWidth="1"/>
    <col min="2" max="2" width="28.28515625" hidden="1" customWidth="1"/>
    <col min="3" max="3" width="25.28515625" hidden="1" customWidth="1"/>
    <col min="4" max="4" width="44.7109375" hidden="1" customWidth="1"/>
    <col min="5" max="5" width="29" hidden="1" customWidth="1"/>
    <col min="6" max="6" width="30.28515625" hidden="1" customWidth="1"/>
    <col min="7" max="7" width="39.5703125" hidden="1" customWidth="1"/>
    <col min="8" max="8" width="36.28515625" hidden="1" customWidth="1"/>
    <col min="9" max="9" width="10.7109375" customWidth="1"/>
  </cols>
  <sheetData>
    <row r="1" spans="1:10" x14ac:dyDescent="0.25">
      <c r="B1" s="24" t="str">
        <f>'C1 System Weights'!E11</f>
        <v>Subsystem Count</v>
      </c>
      <c r="C1" s="24" t="str">
        <f>'C1 System Weights'!E12</f>
        <v>Deployment Burden</v>
      </c>
      <c r="D1" s="24" t="str">
        <f>'C1 System Weights'!E13</f>
        <v>Operational Flexibility</v>
      </c>
      <c r="E1" s="24" t="str">
        <f>'C1 System Weights'!E14</f>
        <v>Maintenance Demands</v>
      </c>
      <c r="F1" s="24" t="str">
        <f>'C1 System Weights'!E15</f>
        <v>Refuel/Replenish Burden</v>
      </c>
      <c r="G1" s="24" t="str">
        <f>'C1 System Weights'!E16</f>
        <v>Autonomy/Supervision Required</v>
      </c>
    </row>
    <row r="2" spans="1:10" x14ac:dyDescent="0.25">
      <c r="A2" s="48" t="s">
        <v>826</v>
      </c>
      <c r="B2" s="49">
        <f>'C1 System Weights'!F11</f>
        <v>0.16417654619367619</v>
      </c>
      <c r="C2" s="49">
        <f>'C1 System Weights'!F12</f>
        <v>0.18897825131034571</v>
      </c>
      <c r="D2" s="49">
        <f>'C1 System Weights'!F13</f>
        <v>0.21073817479193346</v>
      </c>
      <c r="E2" s="49">
        <f>'C1 System Weights'!F14</f>
        <v>0.12390808981783726</v>
      </c>
      <c r="F2" s="49">
        <f>'C1 System Weights'!F15</f>
        <v>5.1576952965213287E-2</v>
      </c>
      <c r="G2" s="49">
        <f>'C1 System Weights'!F16</f>
        <v>0.26062198492099409</v>
      </c>
      <c r="I2" s="47" t="s">
        <v>825</v>
      </c>
    </row>
    <row r="3" spans="1:10" x14ac:dyDescent="0.25">
      <c r="A3" s="23" t="str">
        <f>'DSM Elements'!A1</f>
        <v>Very Large Air Tankers</v>
      </c>
      <c r="B3" s="6">
        <v>9</v>
      </c>
      <c r="C3" s="6">
        <v>9</v>
      </c>
      <c r="D3" s="6">
        <v>5</v>
      </c>
      <c r="E3" s="6">
        <v>8</v>
      </c>
      <c r="F3" s="6">
        <v>9</v>
      </c>
      <c r="G3" s="6">
        <v>6</v>
      </c>
      <c r="I3" s="50">
        <f>(B3-1)/8*$B$2+(C3-1)/8*$C$2+(D3-1)/8*$D$2+(E3-1)/8*$E$2+(F3-1)/8*$F$2+(G3-1)/8*$G$2</f>
        <v>0.78140915703143077</v>
      </c>
      <c r="J3">
        <v>0.2</v>
      </c>
    </row>
    <row r="4" spans="1:10" x14ac:dyDescent="0.25">
      <c r="A4" s="23" t="str">
        <f>'DSM Elements'!A2</f>
        <v>Large Air Tankers</v>
      </c>
      <c r="B4" s="6">
        <v>8</v>
      </c>
      <c r="C4" s="6">
        <v>8</v>
      </c>
      <c r="D4" s="6">
        <v>4</v>
      </c>
      <c r="E4" s="6">
        <v>7</v>
      </c>
      <c r="F4" s="6">
        <v>8</v>
      </c>
      <c r="G4" s="6">
        <v>6</v>
      </c>
      <c r="I4" s="50">
        <f t="shared" ref="I4:I22" si="0">(B4-1)/8*$B$2+(C4-1)/8*$C$2+(D4-1)/8*$D$2+(E4-1)/8*$E$2+(F4-1)/8*$F$2+(G4-1)/8*$G$2</f>
        <v>0.68898690514655503</v>
      </c>
      <c r="J4">
        <v>0.2</v>
      </c>
    </row>
    <row r="5" spans="1:10" x14ac:dyDescent="0.25">
      <c r="A5" s="23" t="str">
        <f>'DSM Elements'!A3</f>
        <v>Single Engine Airtankers</v>
      </c>
      <c r="B5" s="6">
        <v>4</v>
      </c>
      <c r="C5" s="6">
        <v>4</v>
      </c>
      <c r="D5" s="6">
        <v>3</v>
      </c>
      <c r="E5" s="6">
        <v>5</v>
      </c>
      <c r="F5" s="6">
        <v>6</v>
      </c>
      <c r="G5" s="6">
        <v>5</v>
      </c>
      <c r="I5" s="50">
        <f t="shared" si="0"/>
        <v>0.40961822573466555</v>
      </c>
      <c r="J5">
        <v>0.2</v>
      </c>
    </row>
    <row r="6" spans="1:10" x14ac:dyDescent="0.25">
      <c r="A6" s="23" t="str">
        <f>'DSM Elements'!A4</f>
        <v>Water Scoopers</v>
      </c>
      <c r="B6" s="6">
        <v>6</v>
      </c>
      <c r="C6" s="6">
        <v>5</v>
      </c>
      <c r="D6" s="6">
        <v>4</v>
      </c>
      <c r="E6" s="6">
        <v>6</v>
      </c>
      <c r="F6" s="6">
        <v>5</v>
      </c>
      <c r="G6" s="6">
        <v>4</v>
      </c>
      <c r="I6" s="50">
        <f t="shared" si="0"/>
        <v>0.47709055953732316</v>
      </c>
      <c r="J6">
        <v>0.2</v>
      </c>
    </row>
    <row r="7" spans="1:10" x14ac:dyDescent="0.25">
      <c r="A7" s="23" t="str">
        <f>'DSM Elements'!A5</f>
        <v>Military Airborne Firefighting System</v>
      </c>
      <c r="B7" s="6">
        <v>9</v>
      </c>
      <c r="C7" s="6">
        <v>8</v>
      </c>
      <c r="D7" s="6">
        <v>3</v>
      </c>
      <c r="E7" s="6">
        <v>8</v>
      </c>
      <c r="F7" s="6">
        <v>8</v>
      </c>
      <c r="G7" s="6">
        <v>7</v>
      </c>
      <c r="I7" s="50">
        <f t="shared" si="0"/>
        <v>0.73123296091412682</v>
      </c>
      <c r="J7">
        <v>0.2</v>
      </c>
    </row>
    <row r="8" spans="1:10" x14ac:dyDescent="0.25">
      <c r="A8" s="23" t="str">
        <f>'DSM Elements'!A6</f>
        <v>Helicopters Type I</v>
      </c>
      <c r="B8" s="6">
        <v>8</v>
      </c>
      <c r="C8" s="6">
        <v>6</v>
      </c>
      <c r="D8" s="6">
        <v>2</v>
      </c>
      <c r="E8" s="6">
        <v>7</v>
      </c>
      <c r="F8" s="6">
        <v>7</v>
      </c>
      <c r="G8" s="6">
        <v>6</v>
      </c>
      <c r="I8" s="50">
        <f t="shared" si="0"/>
        <v>0.58261067950033363</v>
      </c>
      <c r="J8">
        <v>0.2</v>
      </c>
    </row>
    <row r="9" spans="1:10" x14ac:dyDescent="0.25">
      <c r="A9" s="23" t="str">
        <f>'DSM Elements'!A7</f>
        <v>Helicopters Type II</v>
      </c>
      <c r="B9" s="6">
        <v>6</v>
      </c>
      <c r="C9" s="6">
        <v>5</v>
      </c>
      <c r="D9" s="6">
        <v>3</v>
      </c>
      <c r="E9" s="6">
        <v>6</v>
      </c>
      <c r="F9" s="6">
        <v>6</v>
      </c>
      <c r="G9" s="6">
        <v>5</v>
      </c>
      <c r="I9" s="50">
        <f t="shared" si="0"/>
        <v>0.48977315492410745</v>
      </c>
      <c r="J9">
        <v>0.2</v>
      </c>
    </row>
    <row r="10" spans="1:10" x14ac:dyDescent="0.25">
      <c r="A10" s="23" t="str">
        <f>'DSM Elements'!A8</f>
        <v>Helicopters Type III</v>
      </c>
      <c r="B10" s="6">
        <v>5</v>
      </c>
      <c r="C10" s="6">
        <v>4</v>
      </c>
      <c r="D10" s="6">
        <v>4</v>
      </c>
      <c r="E10" s="6">
        <v>5</v>
      </c>
      <c r="F10" s="6">
        <v>5</v>
      </c>
      <c r="G10" s="6">
        <v>4</v>
      </c>
      <c r="I10" s="50">
        <f t="shared" si="0"/>
        <v>0.41745769862209081</v>
      </c>
      <c r="J10">
        <v>0.2</v>
      </c>
    </row>
    <row r="11" spans="1:10" x14ac:dyDescent="0.25">
      <c r="A11" s="23" t="str">
        <f>'DSM Elements'!A9</f>
        <v>Tactical Lead Planes</v>
      </c>
      <c r="B11" s="6">
        <v>6</v>
      </c>
      <c r="C11" s="6">
        <v>5</v>
      </c>
      <c r="D11" s="6">
        <v>2</v>
      </c>
      <c r="E11" s="6">
        <v>6</v>
      </c>
      <c r="F11" s="6">
        <v>7</v>
      </c>
      <c r="G11" s="6">
        <v>5</v>
      </c>
      <c r="I11" s="50">
        <f t="shared" si="0"/>
        <v>0.46987800219576747</v>
      </c>
      <c r="J11">
        <v>0.2</v>
      </c>
    </row>
    <row r="12" spans="1:10" x14ac:dyDescent="0.25">
      <c r="A12" s="23" t="str">
        <f>'DSM Elements'!A10</f>
        <v>Air Attack Group Supervisor (AAGS)</v>
      </c>
      <c r="B12" s="6">
        <v>5</v>
      </c>
      <c r="C12" s="6">
        <v>4</v>
      </c>
      <c r="D12" s="6">
        <v>1</v>
      </c>
      <c r="E12" s="6">
        <v>5</v>
      </c>
      <c r="F12" s="6">
        <v>6</v>
      </c>
      <c r="G12" s="6">
        <v>5</v>
      </c>
      <c r="I12" s="50">
        <f t="shared" si="0"/>
        <v>0.37745575031089174</v>
      </c>
      <c r="J12">
        <v>0.2</v>
      </c>
    </row>
    <row r="13" spans="1:10" x14ac:dyDescent="0.25">
      <c r="A13" s="23" t="str">
        <f>'DSM Elements'!A11</f>
        <v>Smokejumper Aircraft</v>
      </c>
      <c r="B13" s="6">
        <v>5</v>
      </c>
      <c r="C13" s="6">
        <v>5</v>
      </c>
      <c r="D13" s="6">
        <v>4</v>
      </c>
      <c r="E13" s="6">
        <v>6</v>
      </c>
      <c r="F13" s="6">
        <v>7</v>
      </c>
      <c r="G13" s="6">
        <v>4</v>
      </c>
      <c r="I13" s="50">
        <f t="shared" si="0"/>
        <v>0.46946272950441703</v>
      </c>
      <c r="J13">
        <v>0.2</v>
      </c>
    </row>
    <row r="14" spans="1:10" x14ac:dyDescent="0.25">
      <c r="A14" s="23" t="str">
        <f>'DSM Elements'!A12</f>
        <v>Tactical UAS</v>
      </c>
      <c r="B14" s="6">
        <v>6</v>
      </c>
      <c r="C14" s="6">
        <v>3</v>
      </c>
      <c r="D14" s="6">
        <v>3</v>
      </c>
      <c r="E14" s="6">
        <v>4</v>
      </c>
      <c r="F14" s="6">
        <v>4</v>
      </c>
      <c r="G14" s="6">
        <v>3</v>
      </c>
      <c r="I14" s="50">
        <f t="shared" si="0"/>
        <v>0.33350183517050985</v>
      </c>
      <c r="J14">
        <v>0.2</v>
      </c>
    </row>
    <row r="15" spans="1:10" x14ac:dyDescent="0.25">
      <c r="A15" s="23" t="str">
        <f>'DSM Elements'!A13</f>
        <v>HAPS</v>
      </c>
      <c r="B15" s="6">
        <v>7</v>
      </c>
      <c r="C15" s="6">
        <v>6</v>
      </c>
      <c r="D15" s="6">
        <v>3</v>
      </c>
      <c r="E15" s="6">
        <v>5</v>
      </c>
      <c r="F15" s="6">
        <v>5</v>
      </c>
      <c r="G15" s="6">
        <v>2</v>
      </c>
      <c r="I15" s="50">
        <f t="shared" si="0"/>
        <v>0.41424862991885614</v>
      </c>
      <c r="J15">
        <v>0.2</v>
      </c>
    </row>
    <row r="16" spans="1:10" x14ac:dyDescent="0.25">
      <c r="A16" s="23" t="str">
        <f>'DSM Elements'!A14</f>
        <v>EO Satellites (OroraTech)</v>
      </c>
      <c r="B16" s="6">
        <v>6</v>
      </c>
      <c r="C16" s="6">
        <v>9</v>
      </c>
      <c r="D16" s="6">
        <v>4</v>
      </c>
      <c r="E16" s="6">
        <v>3</v>
      </c>
      <c r="F16" s="6">
        <v>1</v>
      </c>
      <c r="G16" s="6">
        <v>1</v>
      </c>
      <c r="I16" s="50">
        <f t="shared" si="0"/>
        <v>0.40159243068282768</v>
      </c>
      <c r="J16">
        <v>0.2</v>
      </c>
    </row>
    <row r="17" spans="1:10" x14ac:dyDescent="0.25">
      <c r="A17" s="23" t="str">
        <f>'DSM Elements'!A15</f>
        <v>Weather Satellites (GOES-16/GOES-18)</v>
      </c>
      <c r="B17" s="6">
        <v>9</v>
      </c>
      <c r="C17" s="6">
        <v>9</v>
      </c>
      <c r="D17" s="6">
        <v>5</v>
      </c>
      <c r="E17" s="6">
        <v>3</v>
      </c>
      <c r="F17" s="6">
        <v>1</v>
      </c>
      <c r="G17" s="6">
        <v>1</v>
      </c>
      <c r="I17" s="50">
        <f t="shared" si="0"/>
        <v>0.48950090735444796</v>
      </c>
      <c r="J17">
        <v>0.2</v>
      </c>
    </row>
    <row r="18" spans="1:10" x14ac:dyDescent="0.25">
      <c r="A18" s="23" t="str">
        <f>'DSM Elements'!A16</f>
        <v>Comms Satellites (Iridium)</v>
      </c>
      <c r="B18" s="6">
        <v>8</v>
      </c>
      <c r="C18" s="6">
        <v>8</v>
      </c>
      <c r="D18" s="6">
        <v>6</v>
      </c>
      <c r="E18" s="6">
        <v>3</v>
      </c>
      <c r="F18" s="6">
        <v>1</v>
      </c>
      <c r="G18" s="6">
        <v>1</v>
      </c>
      <c r="I18" s="50">
        <f t="shared" si="0"/>
        <v>0.4716988295154369</v>
      </c>
      <c r="J18">
        <v>0.2</v>
      </c>
    </row>
    <row r="19" spans="1:10" x14ac:dyDescent="0.25">
      <c r="A19" s="23" t="str">
        <f>'DSM Elements'!A17</f>
        <v>Satellite Imagery Systems (VIIRS Pipeline)</v>
      </c>
      <c r="B19" s="6">
        <v>8</v>
      </c>
      <c r="C19" s="6">
        <v>7</v>
      </c>
      <c r="D19" s="6">
        <v>4</v>
      </c>
      <c r="E19" s="6">
        <v>4</v>
      </c>
      <c r="F19" s="6">
        <v>2</v>
      </c>
      <c r="G19" s="6">
        <v>2</v>
      </c>
      <c r="I19" s="50">
        <f t="shared" si="0"/>
        <v>0.44990538286666593</v>
      </c>
      <c r="J19">
        <v>0.2</v>
      </c>
    </row>
    <row r="20" spans="1:10" x14ac:dyDescent="0.25">
      <c r="A20" s="23" t="str">
        <f>'DSM Elements'!A18</f>
        <v>Fire Engines</v>
      </c>
      <c r="B20" s="6">
        <v>4</v>
      </c>
      <c r="C20" s="6">
        <v>3</v>
      </c>
      <c r="D20" s="6">
        <v>4</v>
      </c>
      <c r="E20" s="6">
        <v>6</v>
      </c>
      <c r="F20" s="6">
        <v>4</v>
      </c>
      <c r="G20" s="6">
        <v>3</v>
      </c>
      <c r="I20" s="50">
        <f t="shared" si="0"/>
        <v>0.34977699292554182</v>
      </c>
      <c r="J20">
        <v>0.2</v>
      </c>
    </row>
    <row r="21" spans="1:10" x14ac:dyDescent="0.25">
      <c r="A21" s="23" t="str">
        <f>'DSM Elements'!A19</f>
        <v>Airbase Support Systems</v>
      </c>
      <c r="B21" s="6">
        <v>6</v>
      </c>
      <c r="C21" s="6">
        <v>2</v>
      </c>
      <c r="D21" s="6">
        <v>5</v>
      </c>
      <c r="E21" s="6">
        <v>7</v>
      </c>
      <c r="F21" s="6">
        <v>6</v>
      </c>
      <c r="G21" s="6">
        <v>4</v>
      </c>
      <c r="I21" s="50">
        <f t="shared" si="0"/>
        <v>0.45450161749281659</v>
      </c>
      <c r="J21">
        <v>0.2</v>
      </c>
    </row>
    <row r="22" spans="1:10" x14ac:dyDescent="0.25">
      <c r="A22" s="23" t="str">
        <f>'DSM Elements'!A20</f>
        <v>C3 Systems</v>
      </c>
      <c r="B22" s="6">
        <v>9</v>
      </c>
      <c r="C22" s="6">
        <v>2</v>
      </c>
      <c r="D22" s="6">
        <v>2</v>
      </c>
      <c r="E22" s="6">
        <v>6</v>
      </c>
      <c r="F22" s="6">
        <v>5</v>
      </c>
      <c r="G22" s="6">
        <v>5</v>
      </c>
      <c r="I22" s="50">
        <f t="shared" si="0"/>
        <v>0.44768312453571302</v>
      </c>
      <c r="J22">
        <v>0.2</v>
      </c>
    </row>
    <row r="25" spans="1:10" x14ac:dyDescent="0.25">
      <c r="B25" s="24" t="str">
        <f>'C1 System Weights'!E22</f>
        <v>Cognitive Load</v>
      </c>
      <c r="C25" s="24" t="str">
        <f>'C1 System Weights'!E23</f>
        <v>Temporal Criticality</v>
      </c>
      <c r="D25" s="24" t="str">
        <f>'C1 System Weights'!E24</f>
        <v>Interdependency/Process Coupling</v>
      </c>
      <c r="E25" s="24" t="str">
        <f>'C1 System Weights'!E25</f>
        <v>Execution Steps</v>
      </c>
      <c r="F25" s="24" t="str">
        <f>'C1 System Weights'!E26</f>
        <v>Resource Footprint</v>
      </c>
      <c r="G25" s="24" t="str">
        <f>'C1 System Weights'!E27</f>
        <v>Operational Risk</v>
      </c>
    </row>
    <row r="26" spans="1:10" x14ac:dyDescent="0.25">
      <c r="A26" s="48" t="s">
        <v>826</v>
      </c>
      <c r="B26" s="14">
        <f>'C1 System Weights'!F22</f>
        <v>0.20182026350683388</v>
      </c>
      <c r="C26" s="14">
        <f>'C1 System Weights'!F23</f>
        <v>0.24094346669253708</v>
      </c>
      <c r="D26" s="14">
        <f>'C1 System Weights'!F24</f>
        <v>6.6358507013898893E-2</v>
      </c>
      <c r="E26" s="14">
        <f>'C1 System Weights'!F25</f>
        <v>3.3021900987075477E-2</v>
      </c>
      <c r="F26" s="14">
        <f>'C1 System Weights'!F26</f>
        <v>9.6869567273242918E-2</v>
      </c>
      <c r="G26" s="14">
        <f>'C1 System Weights'!F27</f>
        <v>0.3609862945264119</v>
      </c>
      <c r="I26" s="47" t="s">
        <v>825</v>
      </c>
    </row>
    <row r="27" spans="1:10" x14ac:dyDescent="0.25">
      <c r="A27" s="23" t="str">
        <f>'DSM Elements'!A21</f>
        <v>Deploy Air Assets</v>
      </c>
      <c r="B27" s="6">
        <v>5</v>
      </c>
      <c r="C27" s="6">
        <v>8</v>
      </c>
      <c r="D27" s="6">
        <v>7</v>
      </c>
      <c r="E27" s="6">
        <v>6</v>
      </c>
      <c r="F27" s="6">
        <v>7</v>
      </c>
      <c r="G27" s="6">
        <v>8</v>
      </c>
      <c r="I27" s="50">
        <f>(B27-1)/8*$B$26+(C27-1)/8*$C$26+(D27-1)/8*$D$26+(E27-1)/8*$E$26+(F27-1)/8*$F$26+(G27-1)/8*$G$26</f>
        <v>0.77065841665227586</v>
      </c>
      <c r="J27">
        <v>1</v>
      </c>
    </row>
    <row r="28" spans="1:10" x14ac:dyDescent="0.25">
      <c r="A28" s="23" t="str">
        <f>'DSM Elements'!A22</f>
        <v>Lead Tankers</v>
      </c>
      <c r="B28" s="6">
        <v>7</v>
      </c>
      <c r="C28" s="6">
        <v>9</v>
      </c>
      <c r="D28" s="6">
        <v>8</v>
      </c>
      <c r="E28" s="6">
        <v>7</v>
      </c>
      <c r="F28" s="6">
        <v>8</v>
      </c>
      <c r="G28" s="6">
        <v>9</v>
      </c>
      <c r="I28" s="50">
        <f t="shared" ref="I28:I57" si="1">(B28-1)/8*$B$26+(C28-1)/8*$C$26+(D28-1)/8*$D$26+(E28-1)/8*$E$26+(F28-1)/8*$F$26+(G28-1)/8*$G$26</f>
        <v>0.92088594959063008</v>
      </c>
      <c r="J28">
        <v>1</v>
      </c>
    </row>
    <row r="29" spans="1:10" x14ac:dyDescent="0.25">
      <c r="A29" s="23" t="str">
        <f>'DSM Elements'!A23</f>
        <v>Supervise Air Attacks (AAGs)</v>
      </c>
      <c r="B29" s="6">
        <v>8</v>
      </c>
      <c r="C29" s="6">
        <v>9</v>
      </c>
      <c r="D29" s="6">
        <v>9</v>
      </c>
      <c r="E29" s="6">
        <v>8</v>
      </c>
      <c r="F29" s="6">
        <v>8</v>
      </c>
      <c r="G29" s="6">
        <v>9</v>
      </c>
      <c r="I29" s="50">
        <f t="shared" si="1"/>
        <v>0.95853603352910621</v>
      </c>
      <c r="J29">
        <v>1</v>
      </c>
    </row>
    <row r="30" spans="1:10" x14ac:dyDescent="0.25">
      <c r="A30" s="23" t="str">
        <f>'DSM Elements'!A24</f>
        <v>Drop Water</v>
      </c>
      <c r="B30" s="6">
        <v>3</v>
      </c>
      <c r="C30" s="6">
        <v>9</v>
      </c>
      <c r="D30" s="6">
        <v>6</v>
      </c>
      <c r="E30" s="6">
        <v>3</v>
      </c>
      <c r="F30" s="6">
        <v>6</v>
      </c>
      <c r="G30" s="6">
        <v>7</v>
      </c>
      <c r="I30" s="50">
        <f t="shared" si="1"/>
        <v>0.67241127514028698</v>
      </c>
      <c r="J30">
        <v>1</v>
      </c>
    </row>
    <row r="31" spans="1:10" x14ac:dyDescent="0.25">
      <c r="A31" s="23" t="str">
        <f>'DSM Elements'!A25</f>
        <v>Drop Fire Retardant</v>
      </c>
      <c r="B31" s="6">
        <v>3</v>
      </c>
      <c r="C31" s="6">
        <v>9</v>
      </c>
      <c r="D31" s="6">
        <v>6</v>
      </c>
      <c r="E31" s="6">
        <v>3</v>
      </c>
      <c r="F31" s="6">
        <v>6</v>
      </c>
      <c r="G31" s="6">
        <v>7</v>
      </c>
      <c r="I31" s="50">
        <f t="shared" si="1"/>
        <v>0.67241127514028698</v>
      </c>
      <c r="J31">
        <v>1</v>
      </c>
    </row>
    <row r="32" spans="1:10" x14ac:dyDescent="0.25">
      <c r="A32" s="23" t="str">
        <f>'DSM Elements'!A26</f>
        <v>Perform Post-Drop Assessment</v>
      </c>
      <c r="B32" s="6">
        <v>5</v>
      </c>
      <c r="C32" s="6">
        <v>6</v>
      </c>
      <c r="D32" s="6">
        <v>7</v>
      </c>
      <c r="E32" s="6">
        <v>5</v>
      </c>
      <c r="F32" s="6">
        <v>5</v>
      </c>
      <c r="G32" s="6">
        <v>5</v>
      </c>
      <c r="I32" s="50">
        <f t="shared" si="1"/>
        <v>0.54670756009004196</v>
      </c>
      <c r="J32">
        <v>1</v>
      </c>
    </row>
    <row r="33" spans="1:10" x14ac:dyDescent="0.25">
      <c r="A33" s="23" t="str">
        <f>'DSM Elements'!A27</f>
        <v>Dispatch To Reloading Base</v>
      </c>
      <c r="B33" s="6">
        <v>2</v>
      </c>
      <c r="C33" s="6">
        <v>5</v>
      </c>
      <c r="D33" s="6">
        <v>5</v>
      </c>
      <c r="E33" s="6">
        <v>3</v>
      </c>
      <c r="F33" s="6">
        <v>4</v>
      </c>
      <c r="G33" s="6">
        <v>4</v>
      </c>
      <c r="I33" s="50">
        <f t="shared" si="1"/>
        <v>0.3588299432132116</v>
      </c>
      <c r="J33">
        <v>1</v>
      </c>
    </row>
    <row r="34" spans="1:10" x14ac:dyDescent="0.25">
      <c r="A34" s="23" t="str">
        <f>'DSM Elements'!A28</f>
        <v>Deploy Ground Assets</v>
      </c>
      <c r="B34" s="6">
        <v>4</v>
      </c>
      <c r="C34" s="6">
        <v>7</v>
      </c>
      <c r="D34" s="6">
        <v>7</v>
      </c>
      <c r="E34" s="6">
        <v>6</v>
      </c>
      <c r="F34" s="6">
        <v>7</v>
      </c>
      <c r="G34" s="6">
        <v>7</v>
      </c>
      <c r="I34" s="50">
        <f t="shared" si="1"/>
        <v>0.67018966356155296</v>
      </c>
      <c r="J34">
        <v>1</v>
      </c>
    </row>
    <row r="35" spans="1:10" x14ac:dyDescent="0.25">
      <c r="A35" s="23" t="str">
        <f>'DSM Elements'!A29</f>
        <v>Establish Containment Lines</v>
      </c>
      <c r="B35" s="6">
        <v>6</v>
      </c>
      <c r="C35" s="6">
        <v>8</v>
      </c>
      <c r="D35" s="6">
        <v>8</v>
      </c>
      <c r="E35" s="6">
        <v>7</v>
      </c>
      <c r="F35" s="6">
        <v>8</v>
      </c>
      <c r="G35" s="6">
        <v>8</v>
      </c>
      <c r="I35" s="50">
        <f t="shared" si="1"/>
        <v>0.82041719649990719</v>
      </c>
      <c r="J35">
        <v>1</v>
      </c>
    </row>
    <row r="36" spans="1:10" x14ac:dyDescent="0.25">
      <c r="A36" s="23" t="str">
        <f>'DSM Elements'!A30</f>
        <v>Spill Water from Ground Assets</v>
      </c>
      <c r="B36" s="6">
        <v>2</v>
      </c>
      <c r="C36" s="6">
        <v>7</v>
      </c>
      <c r="D36" s="6">
        <v>5</v>
      </c>
      <c r="E36" s="6">
        <v>3</v>
      </c>
      <c r="F36" s="6">
        <v>4</v>
      </c>
      <c r="G36" s="6">
        <v>5</v>
      </c>
      <c r="I36" s="50">
        <f t="shared" si="1"/>
        <v>0.46418909670214736</v>
      </c>
      <c r="J36">
        <v>1</v>
      </c>
    </row>
    <row r="37" spans="1:10" x14ac:dyDescent="0.25">
      <c r="A37" s="23" t="str">
        <f>'DSM Elements'!A31</f>
        <v>Tactically Monitor Fires</v>
      </c>
      <c r="B37" s="6">
        <v>6</v>
      </c>
      <c r="C37" s="6">
        <v>7</v>
      </c>
      <c r="D37" s="6">
        <v>6</v>
      </c>
      <c r="E37" s="6">
        <v>6</v>
      </c>
      <c r="F37" s="6">
        <v>6</v>
      </c>
      <c r="G37" s="6">
        <v>6</v>
      </c>
      <c r="I37" s="50">
        <f t="shared" si="1"/>
        <v>0.65511793333656732</v>
      </c>
      <c r="J37">
        <v>1</v>
      </c>
    </row>
    <row r="38" spans="1:10" x14ac:dyDescent="0.25">
      <c r="A38" s="23" t="str">
        <f>'DSM Elements'!A32</f>
        <v>Predict New Fires</v>
      </c>
      <c r="B38" s="6">
        <v>7</v>
      </c>
      <c r="C38" s="6">
        <v>5</v>
      </c>
      <c r="D38" s="6">
        <v>6</v>
      </c>
      <c r="E38" s="6">
        <v>5</v>
      </c>
      <c r="F38" s="6">
        <v>5</v>
      </c>
      <c r="G38" s="6">
        <v>6</v>
      </c>
      <c r="I38" s="50">
        <f t="shared" si="1"/>
        <v>0.60387316606924735</v>
      </c>
      <c r="J38">
        <v>1</v>
      </c>
    </row>
    <row r="39" spans="1:10" x14ac:dyDescent="0.25">
      <c r="A39" s="23" t="str">
        <f>'DSM Elements'!A33</f>
        <v>Detect Fires</v>
      </c>
      <c r="B39" s="6">
        <v>4</v>
      </c>
      <c r="C39" s="6">
        <v>8</v>
      </c>
      <c r="D39" s="6">
        <v>7</v>
      </c>
      <c r="E39" s="6">
        <v>4</v>
      </c>
      <c r="F39" s="6">
        <v>5</v>
      </c>
      <c r="G39" s="6">
        <v>5</v>
      </c>
      <c r="I39" s="50">
        <f t="shared" si="1"/>
        <v>0.57758815620143755</v>
      </c>
      <c r="J39">
        <v>1</v>
      </c>
    </row>
    <row r="40" spans="1:10" x14ac:dyDescent="0.25">
      <c r="A40" s="23" t="str">
        <f>'DSM Elements'!A34</f>
        <v>Visually Confirm Fires</v>
      </c>
      <c r="B40" s="6">
        <v>3</v>
      </c>
      <c r="C40" s="6">
        <v>6</v>
      </c>
      <c r="D40" s="6">
        <v>4</v>
      </c>
      <c r="E40" s="6">
        <v>3</v>
      </c>
      <c r="F40" s="6">
        <v>3</v>
      </c>
      <c r="G40" s="6">
        <v>3</v>
      </c>
      <c r="I40" s="50">
        <f t="shared" si="1"/>
        <v>0.34864861338643888</v>
      </c>
      <c r="J40">
        <v>1</v>
      </c>
    </row>
    <row r="41" spans="1:10" x14ac:dyDescent="0.25">
      <c r="A41" s="23" t="str">
        <f>'DSM Elements'!A35</f>
        <v>Predict Fire Paths/Behavior</v>
      </c>
      <c r="B41" s="6">
        <v>8</v>
      </c>
      <c r="C41" s="6">
        <v>9</v>
      </c>
      <c r="D41" s="6">
        <v>8</v>
      </c>
      <c r="E41" s="6">
        <v>7</v>
      </c>
      <c r="F41" s="6">
        <v>7</v>
      </c>
      <c r="G41" s="6">
        <v>8</v>
      </c>
      <c r="I41" s="50">
        <f t="shared" si="1"/>
        <v>0.88888149980402753</v>
      </c>
      <c r="J41">
        <v>1</v>
      </c>
    </row>
    <row r="42" spans="1:10" x14ac:dyDescent="0.25">
      <c r="A42" s="23" t="str">
        <f>'DSM Elements'!A36</f>
        <v>Strategically Monitor Fires</v>
      </c>
      <c r="B42" s="6">
        <v>6</v>
      </c>
      <c r="C42" s="6">
        <v>6</v>
      </c>
      <c r="D42" s="6">
        <v>7</v>
      </c>
      <c r="E42" s="6">
        <v>6</v>
      </c>
      <c r="F42" s="6">
        <v>6</v>
      </c>
      <c r="G42" s="6">
        <v>5</v>
      </c>
      <c r="I42" s="50">
        <f t="shared" si="1"/>
        <v>0.58817152656093596</v>
      </c>
      <c r="J42">
        <v>1</v>
      </c>
    </row>
    <row r="43" spans="1:10" x14ac:dyDescent="0.25">
      <c r="A43" s="23" t="str">
        <f>'DSM Elements'!A37</f>
        <v>Gather Real Time Data from Assets</v>
      </c>
      <c r="B43" s="6">
        <v>5</v>
      </c>
      <c r="C43" s="6">
        <v>7</v>
      </c>
      <c r="D43" s="6">
        <v>8</v>
      </c>
      <c r="E43" s="6">
        <v>5</v>
      </c>
      <c r="F43" s="6">
        <v>6</v>
      </c>
      <c r="G43" s="6">
        <v>6</v>
      </c>
      <c r="I43" s="50">
        <f t="shared" si="1"/>
        <v>0.64235228952830326</v>
      </c>
      <c r="J43">
        <v>1</v>
      </c>
    </row>
    <row r="44" spans="1:10" x14ac:dyDescent="0.25">
      <c r="A44" s="23" t="str">
        <f>'DSM Elements'!A38</f>
        <v>Build Real Time Situational Awareness</v>
      </c>
      <c r="B44" s="6">
        <v>7</v>
      </c>
      <c r="C44" s="6">
        <v>8</v>
      </c>
      <c r="D44" s="6">
        <v>9</v>
      </c>
      <c r="E44" s="6">
        <v>8</v>
      </c>
      <c r="F44" s="6">
        <v>7</v>
      </c>
      <c r="G44" s="6">
        <v>8</v>
      </c>
      <c r="I44" s="50">
        <f t="shared" si="1"/>
        <v>0.8459585845292279</v>
      </c>
      <c r="J44">
        <v>1</v>
      </c>
    </row>
    <row r="45" spans="1:10" x14ac:dyDescent="0.25">
      <c r="A45" s="23" t="str">
        <f>'DSM Elements'!A39</f>
        <v>Coordinate Air &amp; Ground Resources</v>
      </c>
      <c r="B45" s="6">
        <v>7</v>
      </c>
      <c r="C45" s="6">
        <v>9</v>
      </c>
      <c r="D45" s="6">
        <v>9</v>
      </c>
      <c r="E45" s="6">
        <v>7</v>
      </c>
      <c r="F45" s="6">
        <v>8</v>
      </c>
      <c r="G45" s="6">
        <v>9</v>
      </c>
      <c r="I45" s="50">
        <f t="shared" si="1"/>
        <v>0.9291807629673674</v>
      </c>
      <c r="J45">
        <v>1</v>
      </c>
    </row>
    <row r="46" spans="1:10" x14ac:dyDescent="0.25">
      <c r="A46" s="23" t="str">
        <f>'DSM Elements'!A40</f>
        <v>Dynamically Allocate Resources</v>
      </c>
      <c r="B46" s="6">
        <v>8</v>
      </c>
      <c r="C46" s="6">
        <v>9</v>
      </c>
      <c r="D46" s="6">
        <v>9</v>
      </c>
      <c r="E46" s="6">
        <v>8</v>
      </c>
      <c r="F46" s="6">
        <v>8</v>
      </c>
      <c r="G46" s="6">
        <v>9</v>
      </c>
      <c r="I46" s="50">
        <f t="shared" si="1"/>
        <v>0.95853603352910621</v>
      </c>
      <c r="J46">
        <v>1</v>
      </c>
    </row>
    <row r="47" spans="1:10" x14ac:dyDescent="0.25">
      <c r="A47" s="23" t="str">
        <f>'DSM Elements'!A41</f>
        <v>Issue Commands to Assets</v>
      </c>
      <c r="B47" s="6">
        <v>6</v>
      </c>
      <c r="C47" s="6">
        <v>9</v>
      </c>
      <c r="D47" s="6">
        <v>8</v>
      </c>
      <c r="E47" s="6">
        <v>7</v>
      </c>
      <c r="F47" s="6">
        <v>7</v>
      </c>
      <c r="G47" s="6">
        <v>8</v>
      </c>
      <c r="I47" s="50">
        <f t="shared" si="1"/>
        <v>0.83842643392731908</v>
      </c>
      <c r="J47">
        <v>1</v>
      </c>
    </row>
    <row r="48" spans="1:10" x14ac:dyDescent="0.25">
      <c r="A48" s="23" t="str">
        <f>'DSM Elements'!A42</f>
        <v>Communicate to Resources</v>
      </c>
      <c r="B48" s="6">
        <v>4</v>
      </c>
      <c r="C48" s="6">
        <v>8</v>
      </c>
      <c r="D48" s="6">
        <v>6</v>
      </c>
      <c r="E48" s="6">
        <v>4</v>
      </c>
      <c r="F48" s="6">
        <v>5</v>
      </c>
      <c r="G48" s="6">
        <v>6</v>
      </c>
      <c r="I48" s="50">
        <f t="shared" si="1"/>
        <v>0.6144166296405017</v>
      </c>
      <c r="J48">
        <v>1</v>
      </c>
    </row>
    <row r="49" spans="1:10" x14ac:dyDescent="0.25">
      <c r="A49" s="23" t="str">
        <f>'DSM Elements'!A43</f>
        <v>Maintain Communication Among Assets</v>
      </c>
      <c r="B49" s="6">
        <v>4</v>
      </c>
      <c r="C49" s="6">
        <v>7</v>
      </c>
      <c r="D49" s="6">
        <v>7</v>
      </c>
      <c r="E49" s="6">
        <v>5</v>
      </c>
      <c r="F49" s="6">
        <v>6</v>
      </c>
      <c r="G49" s="6">
        <v>6</v>
      </c>
      <c r="I49" s="50">
        <f t="shared" si="1"/>
        <v>0.60882994321321171</v>
      </c>
      <c r="J49">
        <v>1</v>
      </c>
    </row>
    <row r="50" spans="1:10" x14ac:dyDescent="0.25">
      <c r="A50" s="23" t="str">
        <f>'DSM Elements'!A44</f>
        <v>Maintain Communication Between Assets and C3</v>
      </c>
      <c r="B50" s="6">
        <v>5</v>
      </c>
      <c r="C50" s="6">
        <v>8</v>
      </c>
      <c r="D50" s="6">
        <v>8</v>
      </c>
      <c r="E50" s="6">
        <v>6</v>
      </c>
      <c r="F50" s="6">
        <v>6</v>
      </c>
      <c r="G50" s="6">
        <v>7</v>
      </c>
      <c r="I50" s="50">
        <f t="shared" si="1"/>
        <v>0.72172124730405629</v>
      </c>
      <c r="J50">
        <v>1</v>
      </c>
    </row>
    <row r="51" spans="1:10" x14ac:dyDescent="0.25">
      <c r="A51" s="23" t="str">
        <f>'DSM Elements'!A45</f>
        <v>Deploy First Response Ground Assets</v>
      </c>
      <c r="B51" s="6">
        <v>3</v>
      </c>
      <c r="C51" s="6">
        <v>8</v>
      </c>
      <c r="D51" s="6">
        <v>5</v>
      </c>
      <c r="E51" s="6">
        <v>4</v>
      </c>
      <c r="F51" s="6">
        <v>5</v>
      </c>
      <c r="G51" s="6">
        <v>6</v>
      </c>
      <c r="I51" s="50">
        <f t="shared" si="1"/>
        <v>0.58089428332541004</v>
      </c>
      <c r="J51">
        <v>1</v>
      </c>
    </row>
    <row r="52" spans="1:10" x14ac:dyDescent="0.25">
      <c r="A52" s="23" t="str">
        <f>'DSM Elements'!A46</f>
        <v>Deploy Smokejumpers</v>
      </c>
      <c r="B52" s="6">
        <v>6</v>
      </c>
      <c r="C52" s="6">
        <v>7</v>
      </c>
      <c r="D52" s="6">
        <v>6</v>
      </c>
      <c r="E52" s="6">
        <v>6</v>
      </c>
      <c r="F52" s="6">
        <v>6</v>
      </c>
      <c r="G52" s="6">
        <v>7</v>
      </c>
      <c r="I52" s="50">
        <f t="shared" si="1"/>
        <v>0.70024122015236867</v>
      </c>
      <c r="J52">
        <v>1</v>
      </c>
    </row>
    <row r="53" spans="1:10" x14ac:dyDescent="0.25">
      <c r="A53" s="23" t="str">
        <f>'DSM Elements'!A47</f>
        <v>Activate MAFFS</v>
      </c>
      <c r="B53" s="6">
        <v>4</v>
      </c>
      <c r="C53" s="6">
        <v>6</v>
      </c>
      <c r="D53" s="6">
        <v>5</v>
      </c>
      <c r="E53" s="6">
        <v>5</v>
      </c>
      <c r="F53" s="6">
        <v>6</v>
      </c>
      <c r="G53" s="6">
        <v>6</v>
      </c>
      <c r="I53" s="50">
        <f t="shared" si="1"/>
        <v>0.56212238312316987</v>
      </c>
      <c r="J53">
        <v>1</v>
      </c>
    </row>
    <row r="54" spans="1:10" x14ac:dyDescent="0.25">
      <c r="A54" s="23" t="str">
        <f>'DSM Elements'!A48</f>
        <v>Refuel Airborne Assets</v>
      </c>
      <c r="B54" s="6">
        <v>2</v>
      </c>
      <c r="C54" s="6">
        <v>5</v>
      </c>
      <c r="D54" s="6">
        <v>5</v>
      </c>
      <c r="E54" s="6">
        <v>3</v>
      </c>
      <c r="F54" s="6">
        <v>4</v>
      </c>
      <c r="G54" s="6">
        <v>5</v>
      </c>
      <c r="I54" s="50">
        <f t="shared" si="1"/>
        <v>0.40395323002901312</v>
      </c>
      <c r="J54">
        <v>1</v>
      </c>
    </row>
    <row r="55" spans="1:10" x14ac:dyDescent="0.25">
      <c r="A55" s="23" t="str">
        <f>'DSM Elements'!A49</f>
        <v>Provide MRO for Assets</v>
      </c>
      <c r="B55" s="6">
        <v>5</v>
      </c>
      <c r="C55" s="6">
        <v>5</v>
      </c>
      <c r="D55" s="6">
        <v>6</v>
      </c>
      <c r="E55" s="6">
        <v>5</v>
      </c>
      <c r="F55" s="6">
        <v>6</v>
      </c>
      <c r="G55" s="6">
        <v>6</v>
      </c>
      <c r="I55" s="50">
        <f t="shared" si="1"/>
        <v>0.56552679610169432</v>
      </c>
      <c r="J55">
        <v>1</v>
      </c>
    </row>
    <row r="56" spans="1:10" x14ac:dyDescent="0.25">
      <c r="A56" s="23" t="str">
        <f>'DSM Elements'!A50</f>
        <v>Refill Water and Fire Retardants</v>
      </c>
      <c r="B56" s="6">
        <v>2</v>
      </c>
      <c r="C56" s="6">
        <v>6</v>
      </c>
      <c r="D56" s="6">
        <v>5</v>
      </c>
      <c r="E56" s="6">
        <v>4</v>
      </c>
      <c r="F56" s="6">
        <v>4</v>
      </c>
      <c r="G56" s="6">
        <v>5</v>
      </c>
      <c r="I56" s="50">
        <f t="shared" si="1"/>
        <v>0.43819890098896475</v>
      </c>
      <c r="J56">
        <v>1</v>
      </c>
    </row>
    <row r="57" spans="1:10" x14ac:dyDescent="0.25">
      <c r="A57" s="23" t="str">
        <f>'DSM Elements'!A51</f>
        <v>Provide Logistic Support to Crews</v>
      </c>
      <c r="B57" s="6">
        <v>4</v>
      </c>
      <c r="C57" s="6">
        <v>6</v>
      </c>
      <c r="D57" s="6">
        <v>6</v>
      </c>
      <c r="E57" s="6">
        <v>6</v>
      </c>
      <c r="F57" s="6">
        <v>6</v>
      </c>
      <c r="G57" s="6">
        <v>6</v>
      </c>
      <c r="I57" s="50">
        <f t="shared" si="1"/>
        <v>0.57454493412329155</v>
      </c>
      <c r="J57">
        <v>1</v>
      </c>
    </row>
    <row r="60" spans="1:10" x14ac:dyDescent="0.25">
      <c r="B60" s="51" t="str">
        <f>'C1 System Weights'!E32</f>
        <v>Jurisdictional Breadth</v>
      </c>
      <c r="C60" s="51" t="str">
        <f>'C1 System Weights'!E33</f>
        <v>Coordination Span</v>
      </c>
      <c r="D60" s="51" t="str">
        <f>'C1 System Weights'!E34</f>
        <v>Legal/Bureaucratic Constraints</v>
      </c>
      <c r="E60" s="51" t="str">
        <f>'C1 System Weights'!E35</f>
        <v>Mandate Breadth</v>
      </c>
      <c r="F60" s="51" t="str">
        <f>'C1 System Weights'!E36</f>
        <v>Resource Management Burden</v>
      </c>
      <c r="G60" s="51" t="str">
        <f>'C1 System Weights'!E37</f>
        <v>Policy/Political Sensitivity</v>
      </c>
      <c r="H60" s="51" t="str">
        <f>'C1 System Weights'!E38</f>
        <v>Activation/Response Latency</v>
      </c>
    </row>
    <row r="61" spans="1:10" x14ac:dyDescent="0.25">
      <c r="A61" s="48" t="s">
        <v>826</v>
      </c>
      <c r="B61" s="49">
        <f>'C1 System Weights'!F32</f>
        <v>0.17107800479452212</v>
      </c>
      <c r="C61" s="49">
        <f>'C1 System Weights'!F33</f>
        <v>0.15515779827646176</v>
      </c>
      <c r="D61" s="49">
        <f>'C1 System Weights'!F34</f>
        <v>5.670503932014577E-2</v>
      </c>
      <c r="E61" s="49">
        <f>'C1 System Weights'!F35</f>
        <v>0.19479604418014324</v>
      </c>
      <c r="F61" s="49">
        <f>'C1 System Weights'!F36</f>
        <v>0.22053918191527372</v>
      </c>
      <c r="G61" s="49">
        <f>'C1 System Weights'!F37</f>
        <v>0.15599746254534724</v>
      </c>
      <c r="H61" s="49">
        <f>'C1 System Weights'!F38</f>
        <v>4.5726468968106206E-2</v>
      </c>
      <c r="I61" s="47" t="s">
        <v>825</v>
      </c>
    </row>
    <row r="62" spans="1:10" x14ac:dyDescent="0.25">
      <c r="A62" s="23" t="str">
        <f>'DSM Elements'!A52</f>
        <v>Federal Emergency Management Agency</v>
      </c>
      <c r="B62" s="6">
        <v>8</v>
      </c>
      <c r="C62" s="6">
        <v>9</v>
      </c>
      <c r="D62" s="6">
        <v>7</v>
      </c>
      <c r="E62" s="6">
        <v>8</v>
      </c>
      <c r="F62" s="6">
        <v>8</v>
      </c>
      <c r="G62" s="6">
        <v>8</v>
      </c>
      <c r="H62" s="6">
        <v>6</v>
      </c>
      <c r="I62" s="50">
        <f>(B62-1)/8*$B$61+(C62-1)/8*$C$61+(D62-1)/8*$D$61+(E62-1)/8*$E$61+(F62-1)/8*$F$61+(G62-1)/8*$G$61+(H62-1)/8*$H$61</f>
        <v>0.87587497762751299</v>
      </c>
      <c r="J62" s="52">
        <v>0.4</v>
      </c>
    </row>
    <row r="63" spans="1:10" x14ac:dyDescent="0.25">
      <c r="A63" s="23" t="str">
        <f>'DSM Elements'!A53</f>
        <v>National Interagency Fire Center</v>
      </c>
      <c r="B63" s="6">
        <v>7</v>
      </c>
      <c r="C63" s="6">
        <v>8</v>
      </c>
      <c r="D63" s="6">
        <v>6</v>
      </c>
      <c r="E63" s="6">
        <v>7</v>
      </c>
      <c r="F63" s="6">
        <v>7</v>
      </c>
      <c r="G63" s="6">
        <v>6</v>
      </c>
      <c r="H63" s="6">
        <v>5</v>
      </c>
      <c r="I63" s="50">
        <f t="shared" ref="I63:I94" si="2">(B63-1)/8*$B$61+(C63-1)/8*$C$61+(D63-1)/8*$D$61+(E63-1)/8*$E$61+(F63-1)/8*$F$61+(G63-1)/8*$G$61+(H63-1)/8*$H$61</f>
        <v>0.73137529480934449</v>
      </c>
      <c r="J63" s="52">
        <v>0.4</v>
      </c>
    </row>
    <row r="64" spans="1:10" x14ac:dyDescent="0.25">
      <c r="A64" s="23" t="str">
        <f>'DSM Elements'!A54</f>
        <v>Environmental Protection Agency</v>
      </c>
      <c r="B64" s="6">
        <v>6</v>
      </c>
      <c r="C64" s="6">
        <v>7</v>
      </c>
      <c r="D64" s="6">
        <v>8</v>
      </c>
      <c r="E64" s="6">
        <v>5</v>
      </c>
      <c r="F64" s="6">
        <v>5</v>
      </c>
      <c r="G64" s="6">
        <v>9</v>
      </c>
      <c r="H64" s="6">
        <v>7</v>
      </c>
      <c r="I64" s="50">
        <f t="shared" si="2"/>
        <v>0.67086893842818562</v>
      </c>
      <c r="J64" s="52">
        <v>0.4</v>
      </c>
    </row>
    <row r="65" spans="1:10" x14ac:dyDescent="0.25">
      <c r="A65" s="23" t="str">
        <f>'DSM Elements'!A55</f>
        <v>Military Organizations (US National Guard/DOD)</v>
      </c>
      <c r="B65" s="6">
        <v>9</v>
      </c>
      <c r="C65" s="6">
        <v>9</v>
      </c>
      <c r="D65" s="6">
        <v>9</v>
      </c>
      <c r="E65" s="6">
        <v>9</v>
      </c>
      <c r="F65" s="6">
        <v>9</v>
      </c>
      <c r="G65" s="6">
        <v>9</v>
      </c>
      <c r="H65" s="6">
        <v>8</v>
      </c>
      <c r="I65" s="50">
        <f t="shared" si="2"/>
        <v>0.99428419137898683</v>
      </c>
      <c r="J65" s="52">
        <v>0.4</v>
      </c>
    </row>
    <row r="66" spans="1:10" x14ac:dyDescent="0.25">
      <c r="A66" s="23" t="str">
        <f>'DSM Elements'!A56</f>
        <v>Manufacturers Of VLAT/LAT</v>
      </c>
      <c r="B66" s="6">
        <v>3</v>
      </c>
      <c r="C66" s="6">
        <v>3</v>
      </c>
      <c r="D66" s="6">
        <v>2</v>
      </c>
      <c r="E66" s="6">
        <v>3</v>
      </c>
      <c r="F66" s="6">
        <v>4</v>
      </c>
      <c r="G66" s="6">
        <v>2</v>
      </c>
      <c r="H66" s="6">
        <v>2</v>
      </c>
      <c r="I66" s="50">
        <f t="shared" si="2"/>
        <v>0.24526377638520933</v>
      </c>
      <c r="J66" s="52">
        <v>0.4</v>
      </c>
    </row>
    <row r="67" spans="1:10" x14ac:dyDescent="0.25">
      <c r="A67" s="23" t="str">
        <f>'DSM Elements'!A57</f>
        <v>Manufacturers Of Lead Plane &amp; AAGS</v>
      </c>
      <c r="B67" s="6">
        <v>3</v>
      </c>
      <c r="C67" s="6">
        <v>3</v>
      </c>
      <c r="D67" s="6">
        <v>2</v>
      </c>
      <c r="E67" s="6">
        <v>3</v>
      </c>
      <c r="F67" s="6">
        <v>3</v>
      </c>
      <c r="G67" s="6">
        <v>2</v>
      </c>
      <c r="H67" s="6">
        <v>2</v>
      </c>
      <c r="I67" s="50">
        <f t="shared" si="2"/>
        <v>0.21769637864580013</v>
      </c>
      <c r="J67" s="52">
        <v>0.4</v>
      </c>
    </row>
    <row r="68" spans="1:10" x14ac:dyDescent="0.25">
      <c r="A68" s="23" t="str">
        <f>'DSM Elements'!A58</f>
        <v>Satellite Manufacturers</v>
      </c>
      <c r="B68" s="6">
        <v>6</v>
      </c>
      <c r="C68" s="6">
        <v>5</v>
      </c>
      <c r="D68" s="6">
        <v>3</v>
      </c>
      <c r="E68" s="6">
        <v>4</v>
      </c>
      <c r="F68" s="6">
        <v>6</v>
      </c>
      <c r="G68" s="6">
        <v>3</v>
      </c>
      <c r="H68" s="6">
        <v>3</v>
      </c>
      <c r="I68" s="50">
        <f t="shared" si="2"/>
        <v>0.45999540010780687</v>
      </c>
      <c r="J68" s="52">
        <v>0.4</v>
      </c>
    </row>
    <row r="69" spans="1:10" x14ac:dyDescent="0.25">
      <c r="A69" s="23" t="str">
        <f>'DSM Elements'!A59</f>
        <v>UAS Manufacturers</v>
      </c>
      <c r="B69" s="6">
        <v>4</v>
      </c>
      <c r="C69" s="6">
        <v>5</v>
      </c>
      <c r="D69" s="6">
        <v>3</v>
      </c>
      <c r="E69" s="6">
        <v>3</v>
      </c>
      <c r="F69" s="6">
        <v>5</v>
      </c>
      <c r="G69" s="6">
        <v>3</v>
      </c>
      <c r="H69" s="6">
        <v>3</v>
      </c>
      <c r="I69" s="50">
        <f t="shared" si="2"/>
        <v>0.36530899564724922</v>
      </c>
      <c r="J69" s="52">
        <v>0.4</v>
      </c>
    </row>
    <row r="70" spans="1:10" x14ac:dyDescent="0.25">
      <c r="A70" s="23" t="str">
        <f>'DSM Elements'!A60</f>
        <v>C3 Systems Suppliers</v>
      </c>
      <c r="B70" s="6">
        <v>4</v>
      </c>
      <c r="C70" s="6">
        <v>6</v>
      </c>
      <c r="D70" s="6">
        <v>4</v>
      </c>
      <c r="E70" s="6">
        <v>5</v>
      </c>
      <c r="F70" s="6">
        <v>6</v>
      </c>
      <c r="G70" s="6">
        <v>5</v>
      </c>
      <c r="H70" s="6">
        <v>4</v>
      </c>
      <c r="I70" s="50">
        <f t="shared" si="2"/>
        <v>0.51277343338862025</v>
      </c>
      <c r="J70" s="52">
        <v>0.4</v>
      </c>
    </row>
    <row r="71" spans="1:10" x14ac:dyDescent="0.25">
      <c r="A71" s="23" t="str">
        <f>'DSM Elements'!A61</f>
        <v>Communication Systems Suppliers</v>
      </c>
      <c r="B71" s="6">
        <v>4</v>
      </c>
      <c r="C71" s="6">
        <v>6</v>
      </c>
      <c r="D71" s="6">
        <v>4</v>
      </c>
      <c r="E71" s="6">
        <v>5</v>
      </c>
      <c r="F71" s="6">
        <v>6</v>
      </c>
      <c r="G71" s="6">
        <v>5</v>
      </c>
      <c r="H71" s="6">
        <v>4</v>
      </c>
      <c r="I71" s="50">
        <f t="shared" si="2"/>
        <v>0.51277343338862025</v>
      </c>
      <c r="J71" s="52">
        <v>0.4</v>
      </c>
    </row>
    <row r="72" spans="1:10" x14ac:dyDescent="0.25">
      <c r="A72" s="23" t="str">
        <f>'DSM Elements'!A62</f>
        <v>Geospatial Information System Companies</v>
      </c>
      <c r="B72" s="6">
        <v>4</v>
      </c>
      <c r="C72" s="6">
        <v>6</v>
      </c>
      <c r="D72" s="6">
        <v>5</v>
      </c>
      <c r="E72" s="6">
        <v>5</v>
      </c>
      <c r="F72" s="6">
        <v>5</v>
      </c>
      <c r="G72" s="6">
        <v>4</v>
      </c>
      <c r="H72" s="6">
        <v>4</v>
      </c>
      <c r="I72" s="50">
        <f t="shared" si="2"/>
        <v>0.47279448274606073</v>
      </c>
      <c r="J72" s="52">
        <v>0.4</v>
      </c>
    </row>
    <row r="73" spans="1:10" x14ac:dyDescent="0.25">
      <c r="A73" s="23" t="str">
        <f>'DSM Elements'!A63</f>
        <v>Cloud Service Providers</v>
      </c>
      <c r="B73" s="6">
        <v>5</v>
      </c>
      <c r="C73" s="6">
        <v>6</v>
      </c>
      <c r="D73" s="6">
        <v>3</v>
      </c>
      <c r="E73" s="6">
        <v>5</v>
      </c>
      <c r="F73" s="6">
        <v>4</v>
      </c>
      <c r="G73" s="6">
        <v>4</v>
      </c>
      <c r="H73" s="6">
        <v>3</v>
      </c>
      <c r="I73" s="50">
        <f t="shared" si="2"/>
        <v>0.44671976715491712</v>
      </c>
      <c r="J73" s="52">
        <v>0.4</v>
      </c>
    </row>
    <row r="74" spans="1:10" x14ac:dyDescent="0.25">
      <c r="A74" s="23" t="str">
        <f>'DSM Elements'!A64</f>
        <v>Firefighting Equipment Suppliers</v>
      </c>
      <c r="B74" s="6">
        <v>4</v>
      </c>
      <c r="C74" s="6">
        <v>6</v>
      </c>
      <c r="D74" s="6">
        <v>4</v>
      </c>
      <c r="E74" s="6">
        <v>5</v>
      </c>
      <c r="F74" s="6">
        <v>6</v>
      </c>
      <c r="G74" s="6">
        <v>5</v>
      </c>
      <c r="H74" s="6">
        <v>4</v>
      </c>
      <c r="I74" s="50">
        <f t="shared" si="2"/>
        <v>0.51277343338862025</v>
      </c>
      <c r="J74" s="52">
        <v>0.4</v>
      </c>
    </row>
    <row r="75" spans="1:10" x14ac:dyDescent="0.25">
      <c r="A75" s="23" t="str">
        <f>'DSM Elements'!A65</f>
        <v>Fire Engines Manufacturers</v>
      </c>
      <c r="B75" s="6">
        <v>4</v>
      </c>
      <c r="C75" s="6">
        <v>6</v>
      </c>
      <c r="D75" s="6">
        <v>4</v>
      </c>
      <c r="E75" s="6">
        <v>4</v>
      </c>
      <c r="F75" s="6">
        <v>4</v>
      </c>
      <c r="G75" s="6">
        <v>4</v>
      </c>
      <c r="H75" s="6">
        <v>3</v>
      </c>
      <c r="I75" s="50">
        <f t="shared" si="2"/>
        <v>0.40807364094810217</v>
      </c>
      <c r="J75" s="52">
        <v>0.4</v>
      </c>
    </row>
    <row r="76" spans="1:10" x14ac:dyDescent="0.25">
      <c r="A76" s="23" t="str">
        <f>'DSM Elements'!A66</f>
        <v>US Forest Service</v>
      </c>
      <c r="B76" s="6">
        <v>8</v>
      </c>
      <c r="C76" s="6">
        <v>8</v>
      </c>
      <c r="D76" s="6">
        <v>7</v>
      </c>
      <c r="E76" s="6">
        <v>7</v>
      </c>
      <c r="F76" s="6">
        <v>8</v>
      </c>
      <c r="G76" s="6">
        <v>7</v>
      </c>
      <c r="H76" s="6">
        <v>6</v>
      </c>
      <c r="I76" s="50">
        <f t="shared" si="2"/>
        <v>0.81263106450226896</v>
      </c>
      <c r="J76" s="52">
        <v>0.4</v>
      </c>
    </row>
    <row r="77" spans="1:10" x14ac:dyDescent="0.25">
      <c r="A77" s="23" t="str">
        <f>'DSM Elements'!A67</f>
        <v>Bureau Of Land Management (BLM)</v>
      </c>
      <c r="B77" s="6">
        <v>7</v>
      </c>
      <c r="C77" s="6">
        <v>7</v>
      </c>
      <c r="D77" s="6">
        <v>7</v>
      </c>
      <c r="E77" s="6">
        <v>6</v>
      </c>
      <c r="F77" s="6">
        <v>8</v>
      </c>
      <c r="G77" s="6">
        <v>7</v>
      </c>
      <c r="H77" s="6">
        <v>5</v>
      </c>
      <c r="I77" s="50">
        <f t="shared" si="2"/>
        <v>0.74178627497486482</v>
      </c>
      <c r="J77" s="52">
        <v>0.4</v>
      </c>
    </row>
    <row r="78" spans="1:10" x14ac:dyDescent="0.25">
      <c r="A78" s="23" t="str">
        <f>'DSM Elements'!A68</f>
        <v>National Park Service (NPS)</v>
      </c>
      <c r="B78" s="6">
        <v>7</v>
      </c>
      <c r="C78" s="6">
        <v>7</v>
      </c>
      <c r="D78" s="6">
        <v>6</v>
      </c>
      <c r="E78" s="6">
        <v>6</v>
      </c>
      <c r="F78" s="6">
        <v>7</v>
      </c>
      <c r="G78" s="6">
        <v>6</v>
      </c>
      <c r="H78" s="6">
        <v>5</v>
      </c>
      <c r="I78" s="50">
        <f t="shared" si="2"/>
        <v>0.68763106450226896</v>
      </c>
      <c r="J78" s="52">
        <v>0.4</v>
      </c>
    </row>
    <row r="79" spans="1:10" x14ac:dyDescent="0.25">
      <c r="A79" s="23" t="str">
        <f>'DSM Elements'!A69</f>
        <v>US Fish &amp; Wildlife Services (USFWS)</v>
      </c>
      <c r="B79" s="6">
        <v>7</v>
      </c>
      <c r="C79" s="6">
        <v>6</v>
      </c>
      <c r="D79" s="6">
        <v>6</v>
      </c>
      <c r="E79" s="6">
        <v>6</v>
      </c>
      <c r="F79" s="6">
        <v>6</v>
      </c>
      <c r="G79" s="6">
        <v>6</v>
      </c>
      <c r="H79" s="6">
        <v>5</v>
      </c>
      <c r="I79" s="50">
        <f t="shared" si="2"/>
        <v>0.64066894197830204</v>
      </c>
      <c r="J79" s="52">
        <v>0.4</v>
      </c>
    </row>
    <row r="80" spans="1:10" x14ac:dyDescent="0.25">
      <c r="A80" s="23" t="str">
        <f>'DSM Elements'!A70</f>
        <v>Bureau Of Indian Affairs (BIA)</v>
      </c>
      <c r="B80" s="6">
        <v>7</v>
      </c>
      <c r="C80" s="6">
        <v>6</v>
      </c>
      <c r="D80" s="6">
        <v>7</v>
      </c>
      <c r="E80" s="6">
        <v>6</v>
      </c>
      <c r="F80" s="6">
        <v>6</v>
      </c>
      <c r="G80" s="6">
        <v>6</v>
      </c>
      <c r="H80" s="6">
        <v>5</v>
      </c>
      <c r="I80" s="50">
        <f t="shared" si="2"/>
        <v>0.64775707189332032</v>
      </c>
      <c r="J80" s="52">
        <v>0.4</v>
      </c>
    </row>
    <row r="81" spans="1:10" x14ac:dyDescent="0.25">
      <c r="A81" s="23" t="str">
        <f>'DSM Elements'!A71</f>
        <v>US Department of Defense (DOD)</v>
      </c>
      <c r="B81" s="6">
        <v>9</v>
      </c>
      <c r="C81" s="6">
        <v>9</v>
      </c>
      <c r="D81" s="6">
        <v>9</v>
      </c>
      <c r="E81" s="6">
        <v>9</v>
      </c>
      <c r="F81" s="6">
        <v>9</v>
      </c>
      <c r="G81" s="6">
        <v>9</v>
      </c>
      <c r="H81" s="6">
        <v>8</v>
      </c>
      <c r="I81" s="50">
        <f t="shared" si="2"/>
        <v>0.99428419137898683</v>
      </c>
      <c r="J81" s="52">
        <v>0.4</v>
      </c>
    </row>
    <row r="82" spans="1:10" x14ac:dyDescent="0.25">
      <c r="A82" s="23" t="str">
        <f>'DSM Elements'!A72</f>
        <v>Local Fire Departments</v>
      </c>
      <c r="B82" s="6">
        <v>3</v>
      </c>
      <c r="C82" s="6">
        <v>7</v>
      </c>
      <c r="D82" s="6">
        <v>3</v>
      </c>
      <c r="E82" s="6">
        <v>6</v>
      </c>
      <c r="F82" s="6">
        <v>5</v>
      </c>
      <c r="G82" s="6">
        <v>6</v>
      </c>
      <c r="H82" s="6">
        <v>4</v>
      </c>
      <c r="I82" s="50">
        <f t="shared" si="2"/>
        <v>0.51997706826012158</v>
      </c>
      <c r="J82" s="52">
        <v>0.4</v>
      </c>
    </row>
    <row r="83" spans="1:10" x14ac:dyDescent="0.25">
      <c r="A83" s="23" t="str">
        <f>'DSM Elements'!A73</f>
        <v>Volunteer Firefighting Organizations</v>
      </c>
      <c r="B83" s="6">
        <v>3</v>
      </c>
      <c r="C83" s="6">
        <v>6</v>
      </c>
      <c r="D83" s="6">
        <v>2</v>
      </c>
      <c r="E83" s="6">
        <v>4</v>
      </c>
      <c r="F83" s="6">
        <v>4</v>
      </c>
      <c r="G83" s="6">
        <v>4</v>
      </c>
      <c r="H83" s="6">
        <v>3</v>
      </c>
      <c r="I83" s="50">
        <f t="shared" si="2"/>
        <v>0.37251263051875044</v>
      </c>
      <c r="J83" s="52">
        <v>0.4</v>
      </c>
    </row>
    <row r="84" spans="1:10" x14ac:dyDescent="0.25">
      <c r="A84" s="23" t="str">
        <f>'DSM Elements'!A74</f>
        <v>Private Aircraft Operators</v>
      </c>
      <c r="B84" s="6">
        <v>4</v>
      </c>
      <c r="C84" s="6">
        <v>5</v>
      </c>
      <c r="D84" s="6">
        <v>2</v>
      </c>
      <c r="E84" s="6">
        <v>4</v>
      </c>
      <c r="F84" s="6">
        <v>5</v>
      </c>
      <c r="G84" s="6">
        <v>3</v>
      </c>
      <c r="H84" s="6">
        <v>3</v>
      </c>
      <c r="I84" s="50">
        <f t="shared" si="2"/>
        <v>0.38257037125474885</v>
      </c>
      <c r="J84" s="52">
        <v>0.4</v>
      </c>
    </row>
    <row r="85" spans="1:10" x14ac:dyDescent="0.25">
      <c r="A85" s="23" t="str">
        <f>'DSM Elements'!A75</f>
        <v>National Weather Service (NWS)</v>
      </c>
      <c r="B85" s="6">
        <v>8</v>
      </c>
      <c r="C85" s="6">
        <v>7</v>
      </c>
      <c r="D85" s="6">
        <v>6</v>
      </c>
      <c r="E85" s="6">
        <v>7</v>
      </c>
      <c r="F85" s="6">
        <v>7</v>
      </c>
      <c r="G85" s="6">
        <v>6</v>
      </c>
      <c r="H85" s="6">
        <v>4</v>
      </c>
      <c r="I85" s="50">
        <f t="shared" si="2"/>
        <v>0.72764951200308881</v>
      </c>
      <c r="J85" s="52">
        <v>0.4</v>
      </c>
    </row>
    <row r="86" spans="1:10" x14ac:dyDescent="0.25">
      <c r="A86" s="23" t="str">
        <f>'DSM Elements'!A76</f>
        <v>National Oceanic &amp; Atmospheric Admin (NOAA)</v>
      </c>
      <c r="B86" s="6">
        <v>8</v>
      </c>
      <c r="C86" s="6">
        <v>8</v>
      </c>
      <c r="D86" s="6">
        <v>7</v>
      </c>
      <c r="E86" s="6">
        <v>8</v>
      </c>
      <c r="F86" s="6">
        <v>8</v>
      </c>
      <c r="G86" s="6">
        <v>7</v>
      </c>
      <c r="H86" s="6">
        <v>5</v>
      </c>
      <c r="I86" s="50">
        <f t="shared" si="2"/>
        <v>0.83126476140377359</v>
      </c>
      <c r="J86" s="52">
        <v>0.4</v>
      </c>
    </row>
    <row r="87" spans="1:10" x14ac:dyDescent="0.25">
      <c r="A87" s="23" t="str">
        <f>'DSM Elements'!A77</f>
        <v>FAA</v>
      </c>
      <c r="B87" s="6">
        <v>7</v>
      </c>
      <c r="C87" s="6">
        <v>8</v>
      </c>
      <c r="D87" s="6">
        <v>8</v>
      </c>
      <c r="E87" s="6">
        <v>6</v>
      </c>
      <c r="F87" s="6">
        <v>6</v>
      </c>
      <c r="G87" s="6">
        <v>9</v>
      </c>
      <c r="H87" s="6">
        <v>6</v>
      </c>
      <c r="I87" s="50">
        <f t="shared" si="2"/>
        <v>0.7578495084529725</v>
      </c>
      <c r="J87" s="52">
        <v>0.4</v>
      </c>
    </row>
    <row r="88" spans="1:10" x14ac:dyDescent="0.25">
      <c r="A88" s="23" t="str">
        <f>'DSM Elements'!A78</f>
        <v>State Governors' Offices</v>
      </c>
      <c r="B88" s="6">
        <v>7</v>
      </c>
      <c r="C88" s="6">
        <v>9</v>
      </c>
      <c r="D88" s="6">
        <v>7</v>
      </c>
      <c r="E88" s="6">
        <v>7</v>
      </c>
      <c r="F88" s="6">
        <v>5</v>
      </c>
      <c r="G88" s="6">
        <v>8</v>
      </c>
      <c r="H88" s="6">
        <v>6</v>
      </c>
      <c r="I88" s="50">
        <f t="shared" si="2"/>
        <v>0.74743852828745216</v>
      </c>
      <c r="J88" s="52">
        <v>0.4</v>
      </c>
    </row>
    <row r="89" spans="1:10" x14ac:dyDescent="0.25">
      <c r="A89" s="23" t="str">
        <f>'DSM Elements'!A79</f>
        <v>Provincial Emergency Agencies (e.g., Ontario EMO)</v>
      </c>
      <c r="B89" s="6">
        <v>7</v>
      </c>
      <c r="C89" s="6">
        <v>8</v>
      </c>
      <c r="D89" s="6">
        <v>6</v>
      </c>
      <c r="E89" s="6">
        <v>7</v>
      </c>
      <c r="F89" s="6">
        <v>6</v>
      </c>
      <c r="G89" s="6">
        <v>7</v>
      </c>
      <c r="H89" s="6">
        <v>5</v>
      </c>
      <c r="I89" s="50">
        <f t="shared" si="2"/>
        <v>0.72330757988810379</v>
      </c>
      <c r="J89" s="52">
        <v>0.4</v>
      </c>
    </row>
    <row r="90" spans="1:10" x14ac:dyDescent="0.25">
      <c r="A90" s="23" t="str">
        <f>'DSM Elements'!A80</f>
        <v>Canadian Interagency Forest Fire Centre (CIFFC)</v>
      </c>
      <c r="B90" s="6">
        <v>7</v>
      </c>
      <c r="C90" s="6">
        <v>9</v>
      </c>
      <c r="D90" s="6">
        <v>6</v>
      </c>
      <c r="E90" s="6">
        <v>7</v>
      </c>
      <c r="F90" s="6">
        <v>7</v>
      </c>
      <c r="G90" s="6">
        <v>6</v>
      </c>
      <c r="H90" s="6">
        <v>4</v>
      </c>
      <c r="I90" s="50">
        <f t="shared" si="2"/>
        <v>0.74505421097288904</v>
      </c>
      <c r="J90" s="52">
        <v>0.4</v>
      </c>
    </row>
    <row r="91" spans="1:10" x14ac:dyDescent="0.25">
      <c r="A91" s="23" t="str">
        <f>'DSM Elements'!A81</f>
        <v>Global Affairs Canada</v>
      </c>
      <c r="B91" s="6">
        <v>8</v>
      </c>
      <c r="C91" s="6">
        <v>8</v>
      </c>
      <c r="D91" s="6">
        <v>8</v>
      </c>
      <c r="E91" s="6">
        <v>5</v>
      </c>
      <c r="F91" s="6">
        <v>5</v>
      </c>
      <c r="G91" s="6">
        <v>9</v>
      </c>
      <c r="H91" s="6">
        <v>7</v>
      </c>
      <c r="I91" s="50">
        <f t="shared" si="2"/>
        <v>0.73303316441137389</v>
      </c>
      <c r="J91" s="52">
        <v>0.4</v>
      </c>
    </row>
    <row r="92" spans="1:10" x14ac:dyDescent="0.25">
      <c r="A92" s="23" t="str">
        <f>'DSM Elements'!A82</f>
        <v>U.S. Department of State</v>
      </c>
      <c r="B92" s="6">
        <v>9</v>
      </c>
      <c r="C92" s="6">
        <v>9</v>
      </c>
      <c r="D92" s="6">
        <v>9</v>
      </c>
      <c r="E92" s="6">
        <v>5</v>
      </c>
      <c r="F92" s="6">
        <v>6</v>
      </c>
      <c r="G92" s="6">
        <v>9</v>
      </c>
      <c r="H92" s="6">
        <v>7</v>
      </c>
      <c r="I92" s="50">
        <f t="shared" si="2"/>
        <v>0.80846816744967431</v>
      </c>
      <c r="J92" s="52">
        <v>0.4</v>
      </c>
    </row>
    <row r="93" spans="1:10" x14ac:dyDescent="0.25">
      <c r="A93" s="23" t="str">
        <f>'DSM Elements'!A83</f>
        <v>U.S. Federal Government</v>
      </c>
      <c r="B93" s="6">
        <v>9</v>
      </c>
      <c r="C93" s="6">
        <v>9</v>
      </c>
      <c r="D93" s="6">
        <v>9</v>
      </c>
      <c r="E93" s="6">
        <v>9</v>
      </c>
      <c r="F93" s="6">
        <v>9</v>
      </c>
      <c r="G93" s="6">
        <v>9</v>
      </c>
      <c r="H93" s="6">
        <v>8</v>
      </c>
      <c r="I93" s="50">
        <f t="shared" si="2"/>
        <v>0.99428419137898683</v>
      </c>
      <c r="J93" s="52">
        <v>0.4</v>
      </c>
    </row>
    <row r="94" spans="1:10" x14ac:dyDescent="0.25">
      <c r="A94" s="23" t="str">
        <f>'DSM Elements'!A84</f>
        <v>Government of Canada</v>
      </c>
      <c r="B94" s="6">
        <v>9</v>
      </c>
      <c r="C94" s="6">
        <v>9</v>
      </c>
      <c r="D94" s="6">
        <v>9</v>
      </c>
      <c r="E94" s="6">
        <v>9</v>
      </c>
      <c r="F94" s="6">
        <v>9</v>
      </c>
      <c r="G94" s="6">
        <v>9</v>
      </c>
      <c r="H94" s="6">
        <v>8</v>
      </c>
      <c r="I94" s="50">
        <f t="shared" si="2"/>
        <v>0.99428419137898683</v>
      </c>
      <c r="J94" s="52">
        <v>0.4</v>
      </c>
    </row>
  </sheetData>
  <conditionalFormatting sqref="I3:I22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I27:I57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I62:I94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0AA8F9-52EE-43EB-BA27-9C18D2AB8549}">
  <dimension ref="B1:X39"/>
  <sheetViews>
    <sheetView showGridLines="0" topLeftCell="D10" zoomScale="85" zoomScaleNormal="85" workbookViewId="0">
      <selection activeCell="L27" sqref="G22:L27"/>
    </sheetView>
  </sheetViews>
  <sheetFormatPr defaultRowHeight="15" x14ac:dyDescent="0.25"/>
  <cols>
    <col min="2" max="2" width="12.28515625" bestFit="1" customWidth="1"/>
    <col min="3" max="3" width="28.5703125" bestFit="1" customWidth="1"/>
    <col min="5" max="5" width="43.85546875" customWidth="1"/>
    <col min="6" max="6" width="26" customWidth="1"/>
    <col min="7" max="13" width="4.5703125" customWidth="1"/>
    <col min="15" max="15" width="28.7109375" bestFit="1" customWidth="1"/>
    <col min="16" max="16" width="21.140625" bestFit="1" customWidth="1"/>
    <col min="18" max="19" width="12.85546875" bestFit="1" customWidth="1"/>
    <col min="20" max="21" width="12.7109375" bestFit="1" customWidth="1"/>
    <col min="22" max="24" width="8.85546875" bestFit="1" customWidth="1"/>
  </cols>
  <sheetData>
    <row r="1" spans="2:23" ht="15.75" thickBot="1" x14ac:dyDescent="0.3"/>
    <row r="2" spans="2:23" ht="15.75" thickBot="1" x14ac:dyDescent="0.3">
      <c r="B2" s="61" t="s">
        <v>0</v>
      </c>
      <c r="C2" s="62"/>
      <c r="E2" s="16" t="s">
        <v>1</v>
      </c>
    </row>
    <row r="3" spans="2:23" ht="15.75" thickBot="1" x14ac:dyDescent="0.3">
      <c r="B3" s="8" t="s">
        <v>2</v>
      </c>
      <c r="C3" s="8" t="s">
        <v>3</v>
      </c>
      <c r="E3" s="6" t="s">
        <v>4</v>
      </c>
    </row>
    <row r="4" spans="2:23" ht="15" customHeight="1" x14ac:dyDescent="0.25">
      <c r="B4" s="10">
        <v>1</v>
      </c>
      <c r="C4" s="11" t="s">
        <v>588</v>
      </c>
      <c r="E4" s="63" t="s">
        <v>6</v>
      </c>
    </row>
    <row r="5" spans="2:23" x14ac:dyDescent="0.25">
      <c r="B5" s="12">
        <v>3</v>
      </c>
      <c r="C5" s="13" t="s">
        <v>589</v>
      </c>
      <c r="E5" s="64"/>
    </row>
    <row r="6" spans="2:23" x14ac:dyDescent="0.25">
      <c r="B6" s="12">
        <v>5</v>
      </c>
      <c r="C6" s="13" t="s">
        <v>590</v>
      </c>
      <c r="E6" s="65" t="s">
        <v>9</v>
      </c>
    </row>
    <row r="7" spans="2:23" x14ac:dyDescent="0.25">
      <c r="B7" s="12">
        <v>7</v>
      </c>
      <c r="C7" s="13" t="s">
        <v>591</v>
      </c>
      <c r="E7" s="65"/>
    </row>
    <row r="8" spans="2:23" x14ac:dyDescent="0.25">
      <c r="B8" s="12">
        <v>9</v>
      </c>
      <c r="C8" s="13" t="s">
        <v>592</v>
      </c>
    </row>
    <row r="10" spans="2:23" ht="196.9" customHeight="1" x14ac:dyDescent="0.25">
      <c r="E10" s="1" t="s">
        <v>739</v>
      </c>
      <c r="F10" s="2" t="s">
        <v>44</v>
      </c>
      <c r="G10" s="3" t="str">
        <f>E11</f>
        <v>Subsystem Count</v>
      </c>
      <c r="H10" s="3" t="str">
        <f>E12</f>
        <v>Deployment Burden</v>
      </c>
      <c r="I10" s="3" t="str">
        <f>E13</f>
        <v>Operational Flexibility</v>
      </c>
      <c r="J10" s="3" t="str">
        <f>E14</f>
        <v>Maintenance Demands</v>
      </c>
      <c r="K10" s="3" t="str">
        <f>E15</f>
        <v>Refuel/Replenish Burden</v>
      </c>
      <c r="L10" s="3" t="str">
        <f>E16</f>
        <v>Autonomy/Supervision Required</v>
      </c>
      <c r="M10" s="40"/>
      <c r="O10" s="41" t="s">
        <v>739</v>
      </c>
      <c r="P10" s="41" t="s">
        <v>771</v>
      </c>
    </row>
    <row r="11" spans="2:23" x14ac:dyDescent="0.25">
      <c r="E11" s="14" t="s">
        <v>722</v>
      </c>
      <c r="F11" s="50">
        <f t="shared" ref="F11:F16" si="0">AVERAGE(R11:W11)</f>
        <v>0.16417654619367619</v>
      </c>
      <c r="G11" s="54">
        <v>1</v>
      </c>
      <c r="H11" s="55">
        <v>2</v>
      </c>
      <c r="I11" s="55">
        <v>0.33333333333333331</v>
      </c>
      <c r="J11" s="55">
        <v>1</v>
      </c>
      <c r="K11" s="56">
        <v>3</v>
      </c>
      <c r="L11" s="56">
        <v>1</v>
      </c>
      <c r="O11" s="6" t="str">
        <f t="shared" ref="O11:P16" si="1">E11</f>
        <v>Subsystem Count</v>
      </c>
      <c r="P11" s="43">
        <f t="shared" si="1"/>
        <v>0.16417654619367619</v>
      </c>
      <c r="R11" s="7">
        <f t="shared" ref="R11:W16" si="2">G11/SUM(G$11:G$16)</f>
        <v>0.14634146341463417</v>
      </c>
      <c r="S11" s="7">
        <f t="shared" si="2"/>
        <v>0.26845637583892618</v>
      </c>
      <c r="T11" s="7">
        <f t="shared" si="2"/>
        <v>5.5555555555555552E-2</v>
      </c>
      <c r="U11" s="7">
        <f t="shared" si="2"/>
        <v>8.8235294117647051E-2</v>
      </c>
      <c r="V11" s="7">
        <f t="shared" si="2"/>
        <v>0.17647058823529413</v>
      </c>
      <c r="W11" s="7">
        <f t="shared" si="2"/>
        <v>0.25</v>
      </c>
    </row>
    <row r="12" spans="2:23" x14ac:dyDescent="0.25">
      <c r="E12" s="14" t="s">
        <v>723</v>
      </c>
      <c r="F12" s="50">
        <f t="shared" si="0"/>
        <v>0.18897825131034571</v>
      </c>
      <c r="G12" s="57" cm="1">
        <f t="array" ref="G12">1/INDEX($H$11:$M$11, 1, ROW(A1))</f>
        <v>0.5</v>
      </c>
      <c r="H12" s="54">
        <v>1</v>
      </c>
      <c r="I12" s="55">
        <v>1</v>
      </c>
      <c r="J12" s="55">
        <v>5</v>
      </c>
      <c r="K12" s="56">
        <v>4</v>
      </c>
      <c r="L12" s="56">
        <v>0.33333333333333331</v>
      </c>
      <c r="O12" s="6" t="str">
        <f t="shared" si="1"/>
        <v>Deployment Burden</v>
      </c>
      <c r="P12" s="43">
        <f t="shared" si="1"/>
        <v>0.18897825131034571</v>
      </c>
      <c r="R12" s="7">
        <f t="shared" si="2"/>
        <v>7.3170731707317083E-2</v>
      </c>
      <c r="S12" s="7">
        <f t="shared" si="2"/>
        <v>0.13422818791946309</v>
      </c>
      <c r="T12" s="7">
        <f t="shared" si="2"/>
        <v>0.16666666666666666</v>
      </c>
      <c r="U12" s="7">
        <f t="shared" si="2"/>
        <v>0.44117647058823528</v>
      </c>
      <c r="V12" s="7">
        <f t="shared" si="2"/>
        <v>0.23529411764705882</v>
      </c>
      <c r="W12" s="7">
        <f t="shared" si="2"/>
        <v>8.3333333333333329E-2</v>
      </c>
    </row>
    <row r="13" spans="2:23" x14ac:dyDescent="0.25">
      <c r="E13" s="14" t="s">
        <v>724</v>
      </c>
      <c r="F13" s="50">
        <f t="shared" si="0"/>
        <v>0.21073817479193346</v>
      </c>
      <c r="G13" s="57" cm="1">
        <f t="array" ref="G13">1/INDEX($H$11:$M$11, 1, ROW(A2))</f>
        <v>3</v>
      </c>
      <c r="H13" s="57" cm="1">
        <f t="array" ref="H13">1/INDEX($I$12:$M$12, 1, ROW(A1))</f>
        <v>1</v>
      </c>
      <c r="I13" s="54">
        <v>1</v>
      </c>
      <c r="J13" s="55">
        <v>3</v>
      </c>
      <c r="K13" s="56">
        <v>3</v>
      </c>
      <c r="L13" s="56">
        <v>0.33333333333333331</v>
      </c>
      <c r="O13" s="6" t="str">
        <f t="shared" si="1"/>
        <v>Operational Flexibility</v>
      </c>
      <c r="P13" s="43">
        <f t="shared" si="1"/>
        <v>0.21073817479193346</v>
      </c>
      <c r="R13" s="7">
        <f t="shared" si="2"/>
        <v>0.43902439024390244</v>
      </c>
      <c r="S13" s="7">
        <f t="shared" si="2"/>
        <v>0.13422818791946309</v>
      </c>
      <c r="T13" s="7">
        <f t="shared" si="2"/>
        <v>0.16666666666666666</v>
      </c>
      <c r="U13" s="7">
        <f t="shared" si="2"/>
        <v>0.26470588235294118</v>
      </c>
      <c r="V13" s="7">
        <f t="shared" si="2"/>
        <v>0.17647058823529413</v>
      </c>
      <c r="W13" s="7">
        <f t="shared" si="2"/>
        <v>8.3333333333333329E-2</v>
      </c>
    </row>
    <row r="14" spans="2:23" x14ac:dyDescent="0.25">
      <c r="E14" s="14" t="s">
        <v>725</v>
      </c>
      <c r="F14" s="50">
        <f t="shared" si="0"/>
        <v>0.12390808981783726</v>
      </c>
      <c r="G14" s="57" cm="1">
        <f t="array" ref="G14">1/INDEX($H$11:$M$11, 1, ROW(A3))</f>
        <v>1</v>
      </c>
      <c r="H14" s="57" cm="1">
        <f t="array" ref="H14">1/INDEX($I$12:$M$12, 1, ROW(A2))</f>
        <v>0.2</v>
      </c>
      <c r="I14" s="57" cm="1">
        <f t="array" ref="I14">1/INDEX($J$13:$M$13, 1, ROW(A1))</f>
        <v>0.33333333333333331</v>
      </c>
      <c r="J14" s="54">
        <v>1</v>
      </c>
      <c r="K14" s="56">
        <v>3</v>
      </c>
      <c r="L14" s="56">
        <v>1</v>
      </c>
      <c r="O14" s="6" t="str">
        <f t="shared" si="1"/>
        <v>Maintenance Demands</v>
      </c>
      <c r="P14" s="43">
        <f t="shared" si="1"/>
        <v>0.12390808981783726</v>
      </c>
      <c r="R14" s="7">
        <f t="shared" si="2"/>
        <v>0.14634146341463417</v>
      </c>
      <c r="S14" s="7">
        <f t="shared" si="2"/>
        <v>2.6845637583892617E-2</v>
      </c>
      <c r="T14" s="7">
        <f t="shared" si="2"/>
        <v>5.5555555555555552E-2</v>
      </c>
      <c r="U14" s="7">
        <f t="shared" si="2"/>
        <v>8.8235294117647051E-2</v>
      </c>
      <c r="V14" s="7">
        <f t="shared" si="2"/>
        <v>0.17647058823529413</v>
      </c>
      <c r="W14" s="7">
        <f t="shared" si="2"/>
        <v>0.25</v>
      </c>
    </row>
    <row r="15" spans="2:23" x14ac:dyDescent="0.25">
      <c r="E15" s="14" t="s">
        <v>769</v>
      </c>
      <c r="F15" s="50">
        <f t="shared" si="0"/>
        <v>5.1576952965213287E-2</v>
      </c>
      <c r="G15" s="57" cm="1">
        <f t="array" ref="G15">1/INDEX($H$11:$M$11, 1, ROW(A4))</f>
        <v>0.33333333333333331</v>
      </c>
      <c r="H15" s="57" cm="1">
        <f t="array" ref="H15">1/INDEX($I$12:$M$12, 1, ROW(A3))</f>
        <v>0.25</v>
      </c>
      <c r="I15" s="57" cm="1">
        <f t="array" ref="I15">1/INDEX($J$13:$M$13, 1, ROW(A2))</f>
        <v>0.33333333333333331</v>
      </c>
      <c r="J15" s="49" cm="1">
        <f t="array" ref="J15">1/INDEX($K$14:$M$14, 1, ROW(A1))</f>
        <v>0.33333333333333331</v>
      </c>
      <c r="K15" s="54">
        <v>1</v>
      </c>
      <c r="L15" s="56">
        <v>0.33333333333333331</v>
      </c>
      <c r="O15" s="6" t="str">
        <f t="shared" si="1"/>
        <v>Refuel/Replenish Burden</v>
      </c>
      <c r="P15" s="43">
        <f t="shared" si="1"/>
        <v>5.1576952965213287E-2</v>
      </c>
      <c r="R15" s="7">
        <f t="shared" si="2"/>
        <v>4.878048780487805E-2</v>
      </c>
      <c r="S15" s="7">
        <f t="shared" si="2"/>
        <v>3.3557046979865772E-2</v>
      </c>
      <c r="T15" s="7">
        <f t="shared" si="2"/>
        <v>5.5555555555555552E-2</v>
      </c>
      <c r="U15" s="7">
        <f t="shared" si="2"/>
        <v>2.9411764705882349E-2</v>
      </c>
      <c r="V15" s="7">
        <f t="shared" si="2"/>
        <v>5.8823529411764705E-2</v>
      </c>
      <c r="W15" s="7">
        <f t="shared" si="2"/>
        <v>8.3333333333333329E-2</v>
      </c>
    </row>
    <row r="16" spans="2:23" x14ac:dyDescent="0.25">
      <c r="E16" s="14" t="s">
        <v>726</v>
      </c>
      <c r="F16" s="50">
        <f t="shared" si="0"/>
        <v>0.26062198492099409</v>
      </c>
      <c r="G16" s="57" cm="1">
        <f t="array" ref="G16">1/INDEX($H$11:$M$11, 1, ROW(A5))</f>
        <v>1</v>
      </c>
      <c r="H16" s="57" cm="1">
        <f t="array" ref="H16">1/INDEX($I$12:$M$12, 1, ROW(A4))</f>
        <v>3</v>
      </c>
      <c r="I16" s="57" cm="1">
        <f t="array" ref="I16">1/INDEX($J$13:$M$13, 1, ROW(A3))</f>
        <v>3</v>
      </c>
      <c r="J16" s="49" cm="1">
        <f t="array" ref="J16">1/INDEX($K$14:$M$14, 1, ROW(A2))</f>
        <v>1</v>
      </c>
      <c r="K16" s="49" cm="1">
        <f t="array" ref="K16">1/INDEX($L$15:$M$15, 1, ROW(A1))</f>
        <v>3</v>
      </c>
      <c r="L16" s="54">
        <v>1</v>
      </c>
      <c r="O16" s="6" t="str">
        <f t="shared" si="1"/>
        <v>Autonomy/Supervision Required</v>
      </c>
      <c r="P16" s="43">
        <f t="shared" si="1"/>
        <v>0.26062198492099409</v>
      </c>
      <c r="R16" s="7">
        <f t="shared" si="2"/>
        <v>0.14634146341463417</v>
      </c>
      <c r="S16" s="7">
        <f t="shared" si="2"/>
        <v>0.40268456375838924</v>
      </c>
      <c r="T16" s="7">
        <f t="shared" si="2"/>
        <v>0.5</v>
      </c>
      <c r="U16" s="7">
        <f t="shared" si="2"/>
        <v>8.8235294117647051E-2</v>
      </c>
      <c r="V16" s="7">
        <f t="shared" si="2"/>
        <v>0.17647058823529413</v>
      </c>
      <c r="W16" s="7">
        <f t="shared" si="2"/>
        <v>0.25</v>
      </c>
    </row>
    <row r="17" spans="5:24" hidden="1" x14ac:dyDescent="0.25">
      <c r="F17" s="15">
        <f>SUM(F11:F16)</f>
        <v>1</v>
      </c>
    </row>
    <row r="21" spans="5:24" ht="196.9" customHeight="1" x14ac:dyDescent="0.25">
      <c r="E21" s="1" t="s">
        <v>739</v>
      </c>
      <c r="F21" s="2" t="s">
        <v>44</v>
      </c>
      <c r="G21" s="3" t="str">
        <f>E22</f>
        <v>Cognitive Load</v>
      </c>
      <c r="H21" s="3" t="str">
        <f>E23</f>
        <v>Temporal Criticality</v>
      </c>
      <c r="I21" s="3" t="str">
        <f>E24</f>
        <v>Interdependency/Process Coupling</v>
      </c>
      <c r="J21" s="3" t="str">
        <f>E25</f>
        <v>Execution Steps</v>
      </c>
      <c r="K21" s="3" t="str">
        <f>E26</f>
        <v>Resource Footprint</v>
      </c>
      <c r="L21" s="3" t="str">
        <f>E27</f>
        <v>Operational Risk</v>
      </c>
      <c r="M21" s="40"/>
      <c r="O21" s="41" t="s">
        <v>739</v>
      </c>
      <c r="P21" s="41" t="s">
        <v>771</v>
      </c>
    </row>
    <row r="22" spans="5:24" x14ac:dyDescent="0.25">
      <c r="E22" s="14" t="s">
        <v>727</v>
      </c>
      <c r="F22" s="50">
        <f t="shared" ref="F22:F27" si="3">AVERAGE(R22:W22)</f>
        <v>0.20182026350683388</v>
      </c>
      <c r="G22" s="54">
        <v>1</v>
      </c>
      <c r="H22" s="55">
        <v>0.33333333333333331</v>
      </c>
      <c r="I22" s="55">
        <v>3</v>
      </c>
      <c r="J22" s="55">
        <v>5</v>
      </c>
      <c r="K22" s="56">
        <v>3</v>
      </c>
      <c r="L22" s="56">
        <v>1</v>
      </c>
      <c r="O22" s="6" t="str">
        <f t="shared" ref="O22:P27" si="4">E22</f>
        <v>Cognitive Load</v>
      </c>
      <c r="P22" s="43">
        <f t="shared" si="4"/>
        <v>0.20182026350683388</v>
      </c>
      <c r="R22" s="7">
        <f t="shared" ref="R22:W27" si="5">G22/SUM(G$22:G$27)</f>
        <v>0.17045454545454547</v>
      </c>
      <c r="S22" s="7">
        <f t="shared" si="5"/>
        <v>6.4102564102564111E-2</v>
      </c>
      <c r="T22" s="7">
        <f t="shared" si="5"/>
        <v>0.19565217391304349</v>
      </c>
      <c r="U22" s="7">
        <f t="shared" si="5"/>
        <v>0.19230769230769232</v>
      </c>
      <c r="V22" s="7">
        <f t="shared" si="5"/>
        <v>0.23684210526315791</v>
      </c>
      <c r="W22" s="7">
        <f t="shared" si="5"/>
        <v>0.35156250000000006</v>
      </c>
    </row>
    <row r="23" spans="5:24" x14ac:dyDescent="0.25">
      <c r="E23" s="14" t="s">
        <v>728</v>
      </c>
      <c r="F23" s="50">
        <f t="shared" si="3"/>
        <v>0.24094346669253708</v>
      </c>
      <c r="G23" s="57" cm="1">
        <f t="array" ref="G23">1/INDEX($H$22:$M$22, 1, ROW($A1))</f>
        <v>3</v>
      </c>
      <c r="H23" s="54">
        <v>1</v>
      </c>
      <c r="I23" s="55">
        <v>3</v>
      </c>
      <c r="J23" s="55">
        <v>5</v>
      </c>
      <c r="K23" s="56">
        <v>3</v>
      </c>
      <c r="L23" s="56">
        <v>0.33333333333333331</v>
      </c>
      <c r="O23" s="6" t="str">
        <f t="shared" si="4"/>
        <v>Temporal Criticality</v>
      </c>
      <c r="P23" s="43">
        <f t="shared" si="4"/>
        <v>0.24094346669253708</v>
      </c>
      <c r="R23" s="7">
        <f t="shared" si="5"/>
        <v>0.51136363636363635</v>
      </c>
      <c r="S23" s="7">
        <f t="shared" si="5"/>
        <v>0.19230769230769235</v>
      </c>
      <c r="T23" s="7">
        <f t="shared" si="5"/>
        <v>0.19565217391304349</v>
      </c>
      <c r="U23" s="7">
        <f t="shared" si="5"/>
        <v>0.19230769230769232</v>
      </c>
      <c r="V23" s="7">
        <f t="shared" si="5"/>
        <v>0.23684210526315791</v>
      </c>
      <c r="W23" s="7">
        <f t="shared" si="5"/>
        <v>0.11718750000000001</v>
      </c>
    </row>
    <row r="24" spans="5:24" x14ac:dyDescent="0.25">
      <c r="E24" s="14" t="s">
        <v>729</v>
      </c>
      <c r="F24" s="50">
        <f t="shared" si="3"/>
        <v>6.6358507013898893E-2</v>
      </c>
      <c r="G24" s="57" cm="1">
        <f t="array" ref="G24">1/INDEX($H$22:$M$22, 1, ROW($A2))</f>
        <v>0.33333333333333331</v>
      </c>
      <c r="H24" s="57" cm="1">
        <f t="array" ref="H24">1/INDEX($I$23:$M$23, 1, ROW($A1))</f>
        <v>0.33333333333333331</v>
      </c>
      <c r="I24" s="54">
        <v>1</v>
      </c>
      <c r="J24" s="55">
        <v>3</v>
      </c>
      <c r="K24" s="56">
        <v>0.33333333333333331</v>
      </c>
      <c r="L24" s="56">
        <v>0.2</v>
      </c>
      <c r="O24" s="6" t="str">
        <f t="shared" si="4"/>
        <v>Interdependency/Process Coupling</v>
      </c>
      <c r="P24" s="43">
        <f t="shared" si="4"/>
        <v>6.6358507013898893E-2</v>
      </c>
      <c r="R24" s="7">
        <f t="shared" si="5"/>
        <v>5.6818181818181816E-2</v>
      </c>
      <c r="S24" s="7">
        <f t="shared" si="5"/>
        <v>6.4102564102564111E-2</v>
      </c>
      <c r="T24" s="7">
        <f t="shared" si="5"/>
        <v>6.5217391304347824E-2</v>
      </c>
      <c r="U24" s="7">
        <f t="shared" si="5"/>
        <v>0.11538461538461539</v>
      </c>
      <c r="V24" s="7">
        <f t="shared" si="5"/>
        <v>2.6315789473684209E-2</v>
      </c>
      <c r="W24" s="7">
        <f t="shared" si="5"/>
        <v>7.0312500000000014E-2</v>
      </c>
    </row>
    <row r="25" spans="5:24" x14ac:dyDescent="0.25">
      <c r="E25" s="14" t="s">
        <v>730</v>
      </c>
      <c r="F25" s="50">
        <f t="shared" si="3"/>
        <v>3.3021900987075477E-2</v>
      </c>
      <c r="G25" s="57" cm="1">
        <f t="array" ref="G25">1/INDEX($H$22:$M$22, 1, ROW($A3))</f>
        <v>0.2</v>
      </c>
      <c r="H25" s="57" cm="1">
        <f t="array" ref="H25">1/INDEX($I$23:$M$23, 1, ROW($A2))</f>
        <v>0.2</v>
      </c>
      <c r="I25" s="57" cm="1">
        <f t="array" ref="I25">1/INDEX($J$24:$M$24, 1, ROW($A1))</f>
        <v>0.33333333333333331</v>
      </c>
      <c r="J25" s="54">
        <v>1</v>
      </c>
      <c r="K25" s="56">
        <v>0.33333333333333331</v>
      </c>
      <c r="L25" s="56">
        <f>1/9</f>
        <v>0.1111111111111111</v>
      </c>
      <c r="O25" s="6" t="str">
        <f t="shared" si="4"/>
        <v>Execution Steps</v>
      </c>
      <c r="P25" s="43">
        <f t="shared" si="4"/>
        <v>3.3021900987075477E-2</v>
      </c>
      <c r="R25" s="7">
        <f t="shared" si="5"/>
        <v>3.4090909090909095E-2</v>
      </c>
      <c r="S25" s="7">
        <f t="shared" si="5"/>
        <v>3.8461538461538471E-2</v>
      </c>
      <c r="T25" s="7">
        <f t="shared" si="5"/>
        <v>2.1739130434782608E-2</v>
      </c>
      <c r="U25" s="7">
        <f t="shared" si="5"/>
        <v>3.8461538461538464E-2</v>
      </c>
      <c r="V25" s="7">
        <f t="shared" si="5"/>
        <v>2.6315789473684209E-2</v>
      </c>
      <c r="W25" s="7">
        <f t="shared" si="5"/>
        <v>3.90625E-2</v>
      </c>
    </row>
    <row r="26" spans="5:24" x14ac:dyDescent="0.25">
      <c r="E26" s="14" t="s">
        <v>731</v>
      </c>
      <c r="F26" s="50">
        <f t="shared" si="3"/>
        <v>9.6869567273242918E-2</v>
      </c>
      <c r="G26" s="57" cm="1">
        <f t="array" ref="G26">1/INDEX($H$22:$M$22, 1, ROW($A4))</f>
        <v>0.33333333333333331</v>
      </c>
      <c r="H26" s="57" cm="1">
        <f t="array" ref="H26">1/INDEX($I$23:$M$23, 1, ROW($A3))</f>
        <v>0.33333333333333331</v>
      </c>
      <c r="I26" s="57" cm="1">
        <f t="array" ref="I26">1/INDEX($J$24:$M$24, 1, ROW($A2))</f>
        <v>3</v>
      </c>
      <c r="J26" s="49" cm="1">
        <f t="array" ref="J26">1/INDEX($K$25:$M$25, 1, ROW($A1))</f>
        <v>3</v>
      </c>
      <c r="K26" s="54">
        <v>1</v>
      </c>
      <c r="L26" s="56">
        <v>0.2</v>
      </c>
      <c r="O26" s="6" t="str">
        <f t="shared" si="4"/>
        <v>Resource Footprint</v>
      </c>
      <c r="P26" s="43">
        <f t="shared" si="4"/>
        <v>9.6869567273242918E-2</v>
      </c>
      <c r="R26" s="7">
        <f t="shared" si="5"/>
        <v>5.6818181818181816E-2</v>
      </c>
      <c r="S26" s="7">
        <f t="shared" si="5"/>
        <v>6.4102564102564111E-2</v>
      </c>
      <c r="T26" s="7">
        <f t="shared" si="5"/>
        <v>0.19565217391304349</v>
      </c>
      <c r="U26" s="7">
        <f t="shared" si="5"/>
        <v>0.11538461538461539</v>
      </c>
      <c r="V26" s="7">
        <f t="shared" si="5"/>
        <v>7.8947368421052641E-2</v>
      </c>
      <c r="W26" s="7">
        <f t="shared" si="5"/>
        <v>7.0312500000000014E-2</v>
      </c>
    </row>
    <row r="27" spans="5:24" x14ac:dyDescent="0.25">
      <c r="E27" s="14" t="s">
        <v>732</v>
      </c>
      <c r="F27" s="50">
        <f t="shared" si="3"/>
        <v>0.3609862945264119</v>
      </c>
      <c r="G27" s="57" cm="1">
        <f t="array" ref="G27">1/INDEX($H$22:$M$22, 1, ROW($A5))</f>
        <v>1</v>
      </c>
      <c r="H27" s="57" cm="1">
        <f t="array" ref="H27">1/INDEX($I$23:$M$23, 1, ROW($A4))</f>
        <v>3</v>
      </c>
      <c r="I27" s="57" cm="1">
        <f t="array" ref="I27">1/INDEX($J$24:$M$24, 1, ROW($A3))</f>
        <v>5</v>
      </c>
      <c r="J27" s="49" cm="1">
        <f t="array" ref="J27">1/INDEX($K$25:$M$25, 1, ROW($A2))</f>
        <v>9</v>
      </c>
      <c r="K27" s="49" cm="1">
        <f t="array" ref="K27">1/INDEX($L$26:$M$26, 1, ROW($A1))</f>
        <v>5</v>
      </c>
      <c r="L27" s="54">
        <v>1</v>
      </c>
      <c r="O27" s="6" t="str">
        <f t="shared" si="4"/>
        <v>Operational Risk</v>
      </c>
      <c r="P27" s="43">
        <f t="shared" si="4"/>
        <v>0.3609862945264119</v>
      </c>
      <c r="R27" s="7">
        <f t="shared" si="5"/>
        <v>0.17045454545454547</v>
      </c>
      <c r="S27" s="7">
        <f t="shared" si="5"/>
        <v>0.57692307692307698</v>
      </c>
      <c r="T27" s="7">
        <f t="shared" si="5"/>
        <v>0.32608695652173914</v>
      </c>
      <c r="U27" s="7">
        <f t="shared" si="5"/>
        <v>0.34615384615384615</v>
      </c>
      <c r="V27" s="7">
        <f t="shared" si="5"/>
        <v>0.39473684210526316</v>
      </c>
      <c r="W27" s="7">
        <f t="shared" si="5"/>
        <v>0.35156250000000006</v>
      </c>
    </row>
    <row r="28" spans="5:24" hidden="1" x14ac:dyDescent="0.25">
      <c r="F28" s="15">
        <f>SUM(F22:F27)</f>
        <v>1.0000000000000002</v>
      </c>
    </row>
    <row r="31" spans="5:24" ht="196.9" customHeight="1" x14ac:dyDescent="0.25">
      <c r="E31" s="1" t="s">
        <v>739</v>
      </c>
      <c r="F31" s="2" t="s">
        <v>44</v>
      </c>
      <c r="G31" s="3" t="str">
        <f>E32</f>
        <v>Jurisdictional Breadth</v>
      </c>
      <c r="H31" s="3" t="str">
        <f>E33</f>
        <v>Coordination Span</v>
      </c>
      <c r="I31" s="3" t="str">
        <f>E34</f>
        <v>Legal/Bureaucratic Constraints</v>
      </c>
      <c r="J31" s="3" t="str">
        <f>E35</f>
        <v>Mandate Breadth</v>
      </c>
      <c r="K31" s="3" t="str">
        <f>E36</f>
        <v>Resource Management Burden</v>
      </c>
      <c r="L31" s="3" t="str">
        <f>E37</f>
        <v>Policy/Political Sensitivity</v>
      </c>
      <c r="M31" s="3" t="str">
        <f>E38</f>
        <v>Activation/Response Latency</v>
      </c>
      <c r="O31" s="41" t="s">
        <v>739</v>
      </c>
      <c r="P31" s="41" t="s">
        <v>771</v>
      </c>
    </row>
    <row r="32" spans="5:24" x14ac:dyDescent="0.25">
      <c r="E32" s="14" t="s">
        <v>733</v>
      </c>
      <c r="F32" s="50">
        <f t="shared" ref="F32:F38" si="6">AVERAGE(R32:X32)</f>
        <v>0.17107800479452212</v>
      </c>
      <c r="G32" s="54">
        <v>1</v>
      </c>
      <c r="H32" s="55">
        <v>1</v>
      </c>
      <c r="I32" s="55">
        <v>5</v>
      </c>
      <c r="J32" s="55">
        <v>1</v>
      </c>
      <c r="K32" s="56">
        <v>1</v>
      </c>
      <c r="L32" s="56">
        <v>1</v>
      </c>
      <c r="M32" s="56">
        <v>3</v>
      </c>
      <c r="O32" s="6" t="str">
        <f t="shared" ref="O32:P38" si="7">E32</f>
        <v>Jurisdictional Breadth</v>
      </c>
      <c r="P32" s="43">
        <f t="shared" si="7"/>
        <v>0.17107800479452212</v>
      </c>
      <c r="R32" s="7">
        <f>G32/SUM(G$32:G$38)</f>
        <v>0.18072289156626506</v>
      </c>
      <c r="S32" s="7">
        <f t="shared" ref="S32:X38" si="8">H32/SUM(H$32:H$38)</f>
        <v>0.13274336283185839</v>
      </c>
      <c r="T32" s="7">
        <f t="shared" si="8"/>
        <v>0.26315789473684209</v>
      </c>
      <c r="U32" s="7">
        <f t="shared" si="8"/>
        <v>0.14563106796116507</v>
      </c>
      <c r="V32" s="7">
        <f t="shared" si="8"/>
        <v>0.21126760563380281</v>
      </c>
      <c r="W32" s="7">
        <f t="shared" si="8"/>
        <v>0.1276595744680851</v>
      </c>
      <c r="X32" s="7">
        <f t="shared" si="8"/>
        <v>0.13636363636363635</v>
      </c>
    </row>
    <row r="33" spans="5:24" x14ac:dyDescent="0.25">
      <c r="E33" s="14" t="s">
        <v>734</v>
      </c>
      <c r="F33" s="50">
        <f t="shared" si="6"/>
        <v>0.15515779827646176</v>
      </c>
      <c r="G33" s="57" cm="1">
        <f t="array" ref="G33">1/INDEX($H$32:$M$32, 1, ROW($A1))</f>
        <v>1</v>
      </c>
      <c r="H33" s="54">
        <v>1</v>
      </c>
      <c r="I33" s="55">
        <v>3</v>
      </c>
      <c r="J33" s="55">
        <v>0.33333333333333331</v>
      </c>
      <c r="K33" s="56">
        <v>1</v>
      </c>
      <c r="L33" s="56">
        <v>1</v>
      </c>
      <c r="M33" s="56">
        <v>5</v>
      </c>
      <c r="O33" s="6" t="str">
        <f t="shared" si="7"/>
        <v>Coordination Span</v>
      </c>
      <c r="P33" s="43">
        <f t="shared" si="7"/>
        <v>0.15515779827646176</v>
      </c>
      <c r="R33" s="7">
        <f t="shared" ref="R33:R38" si="9">G33/SUM(G$32:G$38)</f>
        <v>0.18072289156626506</v>
      </c>
      <c r="S33" s="7">
        <f t="shared" si="8"/>
        <v>0.13274336283185839</v>
      </c>
      <c r="T33" s="7">
        <f t="shared" si="8"/>
        <v>0.15789473684210525</v>
      </c>
      <c r="U33" s="7">
        <f t="shared" si="8"/>
        <v>4.8543689320388349E-2</v>
      </c>
      <c r="V33" s="7">
        <f t="shared" si="8"/>
        <v>0.21126760563380281</v>
      </c>
      <c r="W33" s="7">
        <f t="shared" si="8"/>
        <v>0.1276595744680851</v>
      </c>
      <c r="X33" s="7">
        <f t="shared" si="8"/>
        <v>0.22727272727272727</v>
      </c>
    </row>
    <row r="34" spans="5:24" x14ac:dyDescent="0.25">
      <c r="E34" s="14" t="s">
        <v>760</v>
      </c>
      <c r="F34" s="50">
        <f t="shared" si="6"/>
        <v>5.670503932014577E-2</v>
      </c>
      <c r="G34" s="57" cm="1">
        <f t="array" ref="G34">1/INDEX($H$32:$M$32, 1, ROW($A2))</f>
        <v>0.2</v>
      </c>
      <c r="H34" s="57" cm="1">
        <f t="array" ref="H34">1/INDEX($I$33:$M$33, 1, ROW($A1))</f>
        <v>0.33333333333333331</v>
      </c>
      <c r="I34" s="54">
        <v>1</v>
      </c>
      <c r="J34" s="55">
        <v>0.33333333333333331</v>
      </c>
      <c r="K34" s="56">
        <v>0.2</v>
      </c>
      <c r="L34" s="56">
        <v>1</v>
      </c>
      <c r="M34" s="56">
        <v>1</v>
      </c>
      <c r="O34" s="6" t="str">
        <f t="shared" si="7"/>
        <v>Legal/Bureaucratic Constraints</v>
      </c>
      <c r="P34" s="43">
        <f t="shared" si="7"/>
        <v>5.670503932014577E-2</v>
      </c>
      <c r="R34" s="7">
        <f t="shared" si="9"/>
        <v>3.6144578313253017E-2</v>
      </c>
      <c r="S34" s="7">
        <f t="shared" si="8"/>
        <v>4.4247787610619461E-2</v>
      </c>
      <c r="T34" s="7">
        <f t="shared" si="8"/>
        <v>5.2631578947368418E-2</v>
      </c>
      <c r="U34" s="7">
        <f t="shared" si="8"/>
        <v>4.8543689320388349E-2</v>
      </c>
      <c r="V34" s="7">
        <f t="shared" si="8"/>
        <v>4.2253521126760563E-2</v>
      </c>
      <c r="W34" s="7">
        <f t="shared" si="8"/>
        <v>0.1276595744680851</v>
      </c>
      <c r="X34" s="7">
        <f t="shared" si="8"/>
        <v>4.5454545454545456E-2</v>
      </c>
    </row>
    <row r="35" spans="5:24" x14ac:dyDescent="0.25">
      <c r="E35" s="14" t="s">
        <v>735</v>
      </c>
      <c r="F35" s="50">
        <f t="shared" si="6"/>
        <v>0.19479604418014324</v>
      </c>
      <c r="G35" s="57" cm="1">
        <f t="array" ref="G35">1/INDEX($H$32:$M$32, 1, ROW($A3))</f>
        <v>1</v>
      </c>
      <c r="H35" s="57" cm="1">
        <f t="array" ref="H35">1/INDEX($I$33:$M$33, 1, ROW($A2))</f>
        <v>3</v>
      </c>
      <c r="I35" s="57" cm="1">
        <f t="array" ref="I35">1/INDEX($J$34:$M$34, 1, ROW($A1))</f>
        <v>3</v>
      </c>
      <c r="J35" s="54">
        <v>1</v>
      </c>
      <c r="K35" s="56">
        <v>1</v>
      </c>
      <c r="L35" s="56">
        <v>0.33333333333333331</v>
      </c>
      <c r="M35" s="56">
        <v>5</v>
      </c>
      <c r="O35" s="6" t="str">
        <f t="shared" si="7"/>
        <v>Mandate Breadth</v>
      </c>
      <c r="P35" s="43">
        <f t="shared" si="7"/>
        <v>0.19479604418014324</v>
      </c>
      <c r="R35" s="7">
        <f t="shared" si="9"/>
        <v>0.18072289156626506</v>
      </c>
      <c r="S35" s="7">
        <f t="shared" si="8"/>
        <v>0.39823008849557517</v>
      </c>
      <c r="T35" s="7">
        <f t="shared" si="8"/>
        <v>0.15789473684210525</v>
      </c>
      <c r="U35" s="7">
        <f t="shared" si="8"/>
        <v>0.14563106796116507</v>
      </c>
      <c r="V35" s="7">
        <f t="shared" si="8"/>
        <v>0.21126760563380281</v>
      </c>
      <c r="W35" s="7">
        <f t="shared" si="8"/>
        <v>4.2553191489361694E-2</v>
      </c>
      <c r="X35" s="7">
        <f t="shared" si="8"/>
        <v>0.22727272727272727</v>
      </c>
    </row>
    <row r="36" spans="5:24" x14ac:dyDescent="0.25">
      <c r="E36" s="14" t="s">
        <v>736</v>
      </c>
      <c r="F36" s="50">
        <f t="shared" si="6"/>
        <v>0.22053918191527372</v>
      </c>
      <c r="G36" s="57" cm="1">
        <f t="array" ref="G36">1/INDEX($H$32:$M$32, 1, ROW($A4))</f>
        <v>1</v>
      </c>
      <c r="H36" s="57" cm="1">
        <f t="array" ref="H36">1/INDEX($I$33:$M$33, 1, ROW($A3))</f>
        <v>1</v>
      </c>
      <c r="I36" s="57" cm="1">
        <f t="array" ref="I36">1/INDEX($J$34:$M$34, 1, ROW($A2))</f>
        <v>5</v>
      </c>
      <c r="J36" s="49" cm="1">
        <f t="array" ref="J36">1/INDEX($K$35:$M$35, 1, ROW($A1))</f>
        <v>1</v>
      </c>
      <c r="K36" s="54">
        <v>1</v>
      </c>
      <c r="L36" s="56">
        <v>3</v>
      </c>
      <c r="M36" s="56">
        <v>5</v>
      </c>
      <c r="O36" s="6" t="str">
        <f t="shared" si="7"/>
        <v>Resource Management Burden</v>
      </c>
      <c r="P36" s="43">
        <f t="shared" si="7"/>
        <v>0.22053918191527372</v>
      </c>
      <c r="R36" s="7">
        <f t="shared" si="9"/>
        <v>0.18072289156626506</v>
      </c>
      <c r="S36" s="7">
        <f t="shared" si="8"/>
        <v>0.13274336283185839</v>
      </c>
      <c r="T36" s="7">
        <f t="shared" si="8"/>
        <v>0.26315789473684209</v>
      </c>
      <c r="U36" s="7">
        <f t="shared" si="8"/>
        <v>0.14563106796116507</v>
      </c>
      <c r="V36" s="7">
        <f t="shared" si="8"/>
        <v>0.21126760563380281</v>
      </c>
      <c r="W36" s="7">
        <f t="shared" si="8"/>
        <v>0.38297872340425532</v>
      </c>
      <c r="X36" s="7">
        <f t="shared" si="8"/>
        <v>0.22727272727272727</v>
      </c>
    </row>
    <row r="37" spans="5:24" x14ac:dyDescent="0.25">
      <c r="E37" s="14" t="s">
        <v>737</v>
      </c>
      <c r="F37" s="50">
        <f t="shared" si="6"/>
        <v>0.15599746254534724</v>
      </c>
      <c r="G37" s="57" cm="1">
        <f t="array" ref="G37">1/INDEX($H$32:$M$32, 1, ROW($A5))</f>
        <v>1</v>
      </c>
      <c r="H37" s="57" cm="1">
        <f t="array" ref="H37">1/INDEX($I$33:$M$33, 1, ROW($A4))</f>
        <v>1</v>
      </c>
      <c r="I37" s="57" cm="1">
        <f t="array" ref="I37">1/INDEX($J$34:$M$34, 1, ROW($A3))</f>
        <v>1</v>
      </c>
      <c r="J37" s="49" cm="1">
        <f t="array" ref="J37">1/INDEX($K$35:$M$35, 1, ROW($A2))</f>
        <v>3</v>
      </c>
      <c r="K37" s="49" cm="1">
        <f t="array" ref="K37">1/INDEX($L$36:$M$36, 1, ROW($A1))</f>
        <v>0.33333333333333331</v>
      </c>
      <c r="L37" s="54">
        <v>1</v>
      </c>
      <c r="M37" s="56">
        <v>2</v>
      </c>
      <c r="O37" s="6" t="str">
        <f t="shared" si="7"/>
        <v>Policy/Political Sensitivity</v>
      </c>
      <c r="P37" s="43">
        <f t="shared" si="7"/>
        <v>0.15599746254534724</v>
      </c>
      <c r="R37" s="7">
        <f t="shared" si="9"/>
        <v>0.18072289156626506</v>
      </c>
      <c r="S37" s="7">
        <f t="shared" si="8"/>
        <v>0.13274336283185839</v>
      </c>
      <c r="T37" s="7">
        <f t="shared" si="8"/>
        <v>5.2631578947368418E-2</v>
      </c>
      <c r="U37" s="7">
        <f t="shared" si="8"/>
        <v>0.43689320388349517</v>
      </c>
      <c r="V37" s="7">
        <f t="shared" si="8"/>
        <v>7.0422535211267595E-2</v>
      </c>
      <c r="W37" s="7">
        <f t="shared" si="8"/>
        <v>0.1276595744680851</v>
      </c>
      <c r="X37" s="7">
        <f t="shared" si="8"/>
        <v>9.0909090909090912E-2</v>
      </c>
    </row>
    <row r="38" spans="5:24" x14ac:dyDescent="0.25">
      <c r="E38" s="14" t="s">
        <v>770</v>
      </c>
      <c r="F38" s="50">
        <f t="shared" si="6"/>
        <v>4.5726468968106206E-2</v>
      </c>
      <c r="G38" s="57" cm="1">
        <f t="array" ref="G38">1/INDEX($H$32:$M$32, 1, ROW($A6))</f>
        <v>0.33333333333333331</v>
      </c>
      <c r="H38" s="57" cm="1">
        <f t="array" ref="H38">1/INDEX($I$33:$M$33, 1, ROW($A5))</f>
        <v>0.2</v>
      </c>
      <c r="I38" s="57" cm="1">
        <f t="array" ref="I38">1/INDEX($J$34:$M$34, 1, ROW($A4))</f>
        <v>1</v>
      </c>
      <c r="J38" s="49" cm="1">
        <f t="array" ref="J38">1/INDEX($K$35:$M$35, 1, ROW($A3))</f>
        <v>0.2</v>
      </c>
      <c r="K38" s="49" cm="1">
        <f t="array" ref="K38">1/INDEX($L$36:$M$36, 1, ROW($A2))</f>
        <v>0.2</v>
      </c>
      <c r="L38" s="49" cm="1">
        <f t="array" ref="L38">1/INDEX($M$37:$M$37, 1, ROW($A1))</f>
        <v>0.5</v>
      </c>
      <c r="M38" s="54">
        <v>1</v>
      </c>
      <c r="O38" s="6" t="str">
        <f t="shared" si="7"/>
        <v>Activation/Response Latency</v>
      </c>
      <c r="P38" s="43">
        <f t="shared" si="7"/>
        <v>4.5726468968106206E-2</v>
      </c>
      <c r="R38" s="7">
        <f t="shared" si="9"/>
        <v>6.0240963855421686E-2</v>
      </c>
      <c r="S38" s="7">
        <f t="shared" si="8"/>
        <v>2.6548672566371681E-2</v>
      </c>
      <c r="T38" s="7">
        <f t="shared" si="8"/>
        <v>5.2631578947368418E-2</v>
      </c>
      <c r="U38" s="7">
        <f t="shared" si="8"/>
        <v>2.9126213592233014E-2</v>
      </c>
      <c r="V38" s="7">
        <f t="shared" si="8"/>
        <v>4.2253521126760563E-2</v>
      </c>
      <c r="W38" s="7">
        <f t="shared" si="8"/>
        <v>6.3829787234042548E-2</v>
      </c>
      <c r="X38" s="7">
        <f t="shared" si="8"/>
        <v>4.5454545454545456E-2</v>
      </c>
    </row>
    <row r="39" spans="5:24" hidden="1" x14ac:dyDescent="0.25">
      <c r="F39" s="15">
        <f>SUM(F32:F38)</f>
        <v>1.0000000000000002</v>
      </c>
    </row>
  </sheetData>
  <mergeCells count="3">
    <mergeCell ref="B2:C2"/>
    <mergeCell ref="E4:E5"/>
    <mergeCell ref="E6:E7"/>
  </mergeCells>
  <conditionalFormatting sqref="P11:P16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P22:P27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P32:P38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pageSetup orientation="portrait" r:id="rId1"/>
  <headerFooter>
    <oddFooter>&amp;C_x000D_&amp;1#&amp;"Calibri"&amp;10&amp;K000000 Non-Sensitive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512A1E-5231-4A97-A746-3B776425146F}">
  <dimension ref="A1:C20"/>
  <sheetViews>
    <sheetView workbookViewId="0">
      <selection activeCell="C38" sqref="C38"/>
    </sheetView>
  </sheetViews>
  <sheetFormatPr defaultRowHeight="15" x14ac:dyDescent="0.25"/>
  <cols>
    <col min="1" max="1" width="12.140625" bestFit="1" customWidth="1"/>
    <col min="2" max="2" width="34.42578125" bestFit="1" customWidth="1"/>
    <col min="3" max="3" width="96.85546875" bestFit="1" customWidth="1"/>
  </cols>
  <sheetData>
    <row r="1" spans="1:3" x14ac:dyDescent="0.25">
      <c r="A1" s="22" t="s">
        <v>738</v>
      </c>
      <c r="B1" s="22" t="s">
        <v>739</v>
      </c>
      <c r="C1" s="22" t="s">
        <v>740</v>
      </c>
    </row>
    <row r="2" spans="1:3" x14ac:dyDescent="0.25">
      <c r="A2" s="20" t="s">
        <v>741</v>
      </c>
      <c r="B2" s="6" t="s">
        <v>722</v>
      </c>
      <c r="C2" s="6" t="s">
        <v>742</v>
      </c>
    </row>
    <row r="3" spans="1:3" x14ac:dyDescent="0.25">
      <c r="A3" s="20" t="s">
        <v>741</v>
      </c>
      <c r="B3" s="6" t="s">
        <v>723</v>
      </c>
      <c r="C3" s="6" t="s">
        <v>743</v>
      </c>
    </row>
    <row r="4" spans="1:3" x14ac:dyDescent="0.25">
      <c r="A4" s="20" t="s">
        <v>741</v>
      </c>
      <c r="B4" s="6" t="s">
        <v>724</v>
      </c>
      <c r="C4" s="6" t="s">
        <v>744</v>
      </c>
    </row>
    <row r="5" spans="1:3" x14ac:dyDescent="0.25">
      <c r="A5" s="20" t="s">
        <v>741</v>
      </c>
      <c r="B5" s="6" t="s">
        <v>725</v>
      </c>
      <c r="C5" s="6" t="s">
        <v>745</v>
      </c>
    </row>
    <row r="6" spans="1:3" x14ac:dyDescent="0.25">
      <c r="A6" s="20" t="s">
        <v>741</v>
      </c>
      <c r="B6" s="6" t="s">
        <v>768</v>
      </c>
      <c r="C6" s="6" t="s">
        <v>746</v>
      </c>
    </row>
    <row r="7" spans="1:3" x14ac:dyDescent="0.25">
      <c r="A7" s="20" t="s">
        <v>741</v>
      </c>
      <c r="B7" s="6" t="s">
        <v>747</v>
      </c>
      <c r="C7" s="6" t="s">
        <v>748</v>
      </c>
    </row>
    <row r="8" spans="1:3" x14ac:dyDescent="0.25">
      <c r="A8" s="19" t="s">
        <v>749</v>
      </c>
      <c r="B8" s="6" t="s">
        <v>727</v>
      </c>
      <c r="C8" s="6" t="s">
        <v>750</v>
      </c>
    </row>
    <row r="9" spans="1:3" x14ac:dyDescent="0.25">
      <c r="A9" s="19" t="s">
        <v>749</v>
      </c>
      <c r="B9" s="6" t="s">
        <v>728</v>
      </c>
      <c r="C9" s="6" t="s">
        <v>751</v>
      </c>
    </row>
    <row r="10" spans="1:3" x14ac:dyDescent="0.25">
      <c r="A10" s="19" t="s">
        <v>749</v>
      </c>
      <c r="B10" s="6" t="s">
        <v>752</v>
      </c>
      <c r="C10" s="6" t="s">
        <v>753</v>
      </c>
    </row>
    <row r="11" spans="1:3" x14ac:dyDescent="0.25">
      <c r="A11" s="19" t="s">
        <v>749</v>
      </c>
      <c r="B11" s="6" t="s">
        <v>730</v>
      </c>
      <c r="C11" s="6" t="s">
        <v>754</v>
      </c>
    </row>
    <row r="12" spans="1:3" x14ac:dyDescent="0.25">
      <c r="A12" s="19" t="s">
        <v>749</v>
      </c>
      <c r="B12" s="6" t="s">
        <v>731</v>
      </c>
      <c r="C12" s="6" t="s">
        <v>755</v>
      </c>
    </row>
    <row r="13" spans="1:3" x14ac:dyDescent="0.25">
      <c r="A13" s="19" t="s">
        <v>749</v>
      </c>
      <c r="B13" s="6" t="s">
        <v>732</v>
      </c>
      <c r="C13" s="6" t="s">
        <v>756</v>
      </c>
    </row>
    <row r="14" spans="1:3" x14ac:dyDescent="0.25">
      <c r="A14" s="39" t="s">
        <v>757</v>
      </c>
      <c r="B14" s="6" t="s">
        <v>733</v>
      </c>
      <c r="C14" s="6" t="s">
        <v>758</v>
      </c>
    </row>
    <row r="15" spans="1:3" x14ac:dyDescent="0.25">
      <c r="A15" s="39" t="s">
        <v>757</v>
      </c>
      <c r="B15" s="6" t="s">
        <v>734</v>
      </c>
      <c r="C15" s="6" t="s">
        <v>759</v>
      </c>
    </row>
    <row r="16" spans="1:3" x14ac:dyDescent="0.25">
      <c r="A16" s="39" t="s">
        <v>757</v>
      </c>
      <c r="B16" s="6" t="s">
        <v>760</v>
      </c>
      <c r="C16" s="6" t="s">
        <v>761</v>
      </c>
    </row>
    <row r="17" spans="1:3" x14ac:dyDescent="0.25">
      <c r="A17" s="39" t="s">
        <v>757</v>
      </c>
      <c r="B17" s="6" t="s">
        <v>735</v>
      </c>
      <c r="C17" s="6" t="s">
        <v>762</v>
      </c>
    </row>
    <row r="18" spans="1:3" x14ac:dyDescent="0.25">
      <c r="A18" s="39" t="s">
        <v>757</v>
      </c>
      <c r="B18" s="6" t="s">
        <v>736</v>
      </c>
      <c r="C18" s="6" t="s">
        <v>763</v>
      </c>
    </row>
    <row r="19" spans="1:3" x14ac:dyDescent="0.25">
      <c r="A19" s="39" t="s">
        <v>757</v>
      </c>
      <c r="B19" s="6" t="s">
        <v>764</v>
      </c>
      <c r="C19" s="6" t="s">
        <v>765</v>
      </c>
    </row>
    <row r="20" spans="1:3" x14ac:dyDescent="0.25">
      <c r="A20" s="39" t="s">
        <v>757</v>
      </c>
      <c r="B20" s="6" t="s">
        <v>766</v>
      </c>
      <c r="C20" s="6" t="s">
        <v>767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BB102F-E4E4-4FA5-ADB6-A2EA69AD38FD}">
  <dimension ref="A1:A84"/>
  <sheetViews>
    <sheetView workbookViewId="0">
      <selection activeCell="E54" sqref="E54"/>
    </sheetView>
  </sheetViews>
  <sheetFormatPr defaultRowHeight="15" x14ac:dyDescent="0.25"/>
  <cols>
    <col min="1" max="1" width="42.28515625" bestFit="1" customWidth="1"/>
  </cols>
  <sheetData>
    <row r="1" spans="1:1" x14ac:dyDescent="0.25">
      <c r="A1" s="44" t="s">
        <v>772</v>
      </c>
    </row>
    <row r="2" spans="1:1" x14ac:dyDescent="0.25">
      <c r="A2" s="44" t="s">
        <v>773</v>
      </c>
    </row>
    <row r="3" spans="1:1" x14ac:dyDescent="0.25">
      <c r="A3" s="44" t="s">
        <v>774</v>
      </c>
    </row>
    <row r="4" spans="1:1" x14ac:dyDescent="0.25">
      <c r="A4" s="44" t="s">
        <v>775</v>
      </c>
    </row>
    <row r="5" spans="1:1" x14ac:dyDescent="0.25">
      <c r="A5" s="44" t="s">
        <v>776</v>
      </c>
    </row>
    <row r="6" spans="1:1" x14ac:dyDescent="0.25">
      <c r="A6" s="44" t="s">
        <v>777</v>
      </c>
    </row>
    <row r="7" spans="1:1" x14ac:dyDescent="0.25">
      <c r="A7" s="44" t="s">
        <v>778</v>
      </c>
    </row>
    <row r="8" spans="1:1" x14ac:dyDescent="0.25">
      <c r="A8" s="44" t="s">
        <v>779</v>
      </c>
    </row>
    <row r="9" spans="1:1" x14ac:dyDescent="0.25">
      <c r="A9" s="44" t="s">
        <v>780</v>
      </c>
    </row>
    <row r="10" spans="1:1" x14ac:dyDescent="0.25">
      <c r="A10" s="44" t="s">
        <v>781</v>
      </c>
    </row>
    <row r="11" spans="1:1" x14ac:dyDescent="0.25">
      <c r="A11" s="44" t="s">
        <v>782</v>
      </c>
    </row>
    <row r="12" spans="1:1" x14ac:dyDescent="0.25">
      <c r="A12" s="44" t="s">
        <v>783</v>
      </c>
    </row>
    <row r="13" spans="1:1" x14ac:dyDescent="0.25">
      <c r="A13" s="44" t="s">
        <v>784</v>
      </c>
    </row>
    <row r="14" spans="1:1" x14ac:dyDescent="0.25">
      <c r="A14" s="44" t="s">
        <v>785</v>
      </c>
    </row>
    <row r="15" spans="1:1" x14ac:dyDescent="0.25">
      <c r="A15" s="44" t="s">
        <v>786</v>
      </c>
    </row>
    <row r="16" spans="1:1" x14ac:dyDescent="0.25">
      <c r="A16" s="44" t="s">
        <v>787</v>
      </c>
    </row>
    <row r="17" spans="1:1" x14ac:dyDescent="0.25">
      <c r="A17" s="44" t="s">
        <v>788</v>
      </c>
    </row>
    <row r="18" spans="1:1" x14ac:dyDescent="0.25">
      <c r="A18" s="44" t="s">
        <v>789</v>
      </c>
    </row>
    <row r="19" spans="1:1" x14ac:dyDescent="0.25">
      <c r="A19" s="44" t="s">
        <v>790</v>
      </c>
    </row>
    <row r="20" spans="1:1" x14ac:dyDescent="0.25">
      <c r="A20" s="44" t="s">
        <v>791</v>
      </c>
    </row>
    <row r="21" spans="1:1" x14ac:dyDescent="0.25">
      <c r="A21" s="45" t="s">
        <v>12</v>
      </c>
    </row>
    <row r="22" spans="1:1" x14ac:dyDescent="0.25">
      <c r="A22" s="45" t="s">
        <v>13</v>
      </c>
    </row>
    <row r="23" spans="1:1" x14ac:dyDescent="0.25">
      <c r="A23" s="45" t="s">
        <v>14</v>
      </c>
    </row>
    <row r="24" spans="1:1" x14ac:dyDescent="0.25">
      <c r="A24" s="45" t="s">
        <v>15</v>
      </c>
    </row>
    <row r="25" spans="1:1" x14ac:dyDescent="0.25">
      <c r="A25" s="45" t="s">
        <v>16</v>
      </c>
    </row>
    <row r="26" spans="1:1" x14ac:dyDescent="0.25">
      <c r="A26" s="45" t="s">
        <v>17</v>
      </c>
    </row>
    <row r="27" spans="1:1" x14ac:dyDescent="0.25">
      <c r="A27" s="45" t="s">
        <v>18</v>
      </c>
    </row>
    <row r="28" spans="1:1" x14ac:dyDescent="0.25">
      <c r="A28" s="45" t="s">
        <v>19</v>
      </c>
    </row>
    <row r="29" spans="1:1" x14ac:dyDescent="0.25">
      <c r="A29" s="45" t="s">
        <v>20</v>
      </c>
    </row>
    <row r="30" spans="1:1" x14ac:dyDescent="0.25">
      <c r="A30" s="45" t="s">
        <v>21</v>
      </c>
    </row>
    <row r="31" spans="1:1" x14ac:dyDescent="0.25">
      <c r="A31" s="45" t="s">
        <v>22</v>
      </c>
    </row>
    <row r="32" spans="1:1" x14ac:dyDescent="0.25">
      <c r="A32" s="45" t="s">
        <v>23</v>
      </c>
    </row>
    <row r="33" spans="1:1" x14ac:dyDescent="0.25">
      <c r="A33" s="45" t="s">
        <v>24</v>
      </c>
    </row>
    <row r="34" spans="1:1" x14ac:dyDescent="0.25">
      <c r="A34" s="45" t="s">
        <v>25</v>
      </c>
    </row>
    <row r="35" spans="1:1" x14ac:dyDescent="0.25">
      <c r="A35" s="45" t="s">
        <v>26</v>
      </c>
    </row>
    <row r="36" spans="1:1" x14ac:dyDescent="0.25">
      <c r="A36" s="45" t="s">
        <v>27</v>
      </c>
    </row>
    <row r="37" spans="1:1" x14ac:dyDescent="0.25">
      <c r="A37" s="45" t="s">
        <v>28</v>
      </c>
    </row>
    <row r="38" spans="1:1" x14ac:dyDescent="0.25">
      <c r="A38" s="45" t="s">
        <v>29</v>
      </c>
    </row>
    <row r="39" spans="1:1" x14ac:dyDescent="0.25">
      <c r="A39" s="45" t="s">
        <v>30</v>
      </c>
    </row>
    <row r="40" spans="1:1" x14ac:dyDescent="0.25">
      <c r="A40" s="45" t="s">
        <v>31</v>
      </c>
    </row>
    <row r="41" spans="1:1" x14ac:dyDescent="0.25">
      <c r="A41" s="45" t="s">
        <v>32</v>
      </c>
    </row>
    <row r="42" spans="1:1" x14ac:dyDescent="0.25">
      <c r="A42" s="45" t="s">
        <v>33</v>
      </c>
    </row>
    <row r="43" spans="1:1" x14ac:dyDescent="0.25">
      <c r="A43" s="45" t="s">
        <v>34</v>
      </c>
    </row>
    <row r="44" spans="1:1" x14ac:dyDescent="0.25">
      <c r="A44" s="45" t="s">
        <v>35</v>
      </c>
    </row>
    <row r="45" spans="1:1" x14ac:dyDescent="0.25">
      <c r="A45" s="45" t="s">
        <v>36</v>
      </c>
    </row>
    <row r="46" spans="1:1" x14ac:dyDescent="0.25">
      <c r="A46" s="45" t="s">
        <v>37</v>
      </c>
    </row>
    <row r="47" spans="1:1" x14ac:dyDescent="0.25">
      <c r="A47" s="45" t="s">
        <v>38</v>
      </c>
    </row>
    <row r="48" spans="1:1" x14ac:dyDescent="0.25">
      <c r="A48" s="45" t="s">
        <v>39</v>
      </c>
    </row>
    <row r="49" spans="1:1" x14ac:dyDescent="0.25">
      <c r="A49" s="45" t="s">
        <v>40</v>
      </c>
    </row>
    <row r="50" spans="1:1" x14ac:dyDescent="0.25">
      <c r="A50" s="45" t="s">
        <v>41</v>
      </c>
    </row>
    <row r="51" spans="1:1" x14ac:dyDescent="0.25">
      <c r="A51" s="45" t="s">
        <v>42</v>
      </c>
    </row>
    <row r="52" spans="1:1" x14ac:dyDescent="0.25">
      <c r="A52" s="46" t="s">
        <v>792</v>
      </c>
    </row>
    <row r="53" spans="1:1" x14ac:dyDescent="0.25">
      <c r="A53" s="46" t="s">
        <v>793</v>
      </c>
    </row>
    <row r="54" spans="1:1" x14ac:dyDescent="0.25">
      <c r="A54" s="46" t="s">
        <v>794</v>
      </c>
    </row>
    <row r="55" spans="1:1" x14ac:dyDescent="0.25">
      <c r="A55" s="46" t="s">
        <v>795</v>
      </c>
    </row>
    <row r="56" spans="1:1" x14ac:dyDescent="0.25">
      <c r="A56" s="46" t="s">
        <v>796</v>
      </c>
    </row>
    <row r="57" spans="1:1" x14ac:dyDescent="0.25">
      <c r="A57" s="46" t="s">
        <v>797</v>
      </c>
    </row>
    <row r="58" spans="1:1" x14ac:dyDescent="0.25">
      <c r="A58" s="46" t="s">
        <v>798</v>
      </c>
    </row>
    <row r="59" spans="1:1" x14ac:dyDescent="0.25">
      <c r="A59" s="46" t="s">
        <v>799</v>
      </c>
    </row>
    <row r="60" spans="1:1" x14ac:dyDescent="0.25">
      <c r="A60" s="46" t="s">
        <v>800</v>
      </c>
    </row>
    <row r="61" spans="1:1" x14ac:dyDescent="0.25">
      <c r="A61" s="46" t="s">
        <v>801</v>
      </c>
    </row>
    <row r="62" spans="1:1" x14ac:dyDescent="0.25">
      <c r="A62" s="46" t="s">
        <v>802</v>
      </c>
    </row>
    <row r="63" spans="1:1" x14ac:dyDescent="0.25">
      <c r="A63" s="46" t="s">
        <v>803</v>
      </c>
    </row>
    <row r="64" spans="1:1" x14ac:dyDescent="0.25">
      <c r="A64" s="46" t="s">
        <v>804</v>
      </c>
    </row>
    <row r="65" spans="1:1" x14ac:dyDescent="0.25">
      <c r="A65" s="46" t="s">
        <v>805</v>
      </c>
    </row>
    <row r="66" spans="1:1" x14ac:dyDescent="0.25">
      <c r="A66" s="46" t="s">
        <v>806</v>
      </c>
    </row>
    <row r="67" spans="1:1" x14ac:dyDescent="0.25">
      <c r="A67" s="46" t="s">
        <v>807</v>
      </c>
    </row>
    <row r="68" spans="1:1" x14ac:dyDescent="0.25">
      <c r="A68" s="46" t="s">
        <v>808</v>
      </c>
    </row>
    <row r="69" spans="1:1" x14ac:dyDescent="0.25">
      <c r="A69" s="46" t="s">
        <v>809</v>
      </c>
    </row>
    <row r="70" spans="1:1" x14ac:dyDescent="0.25">
      <c r="A70" s="46" t="s">
        <v>810</v>
      </c>
    </row>
    <row r="71" spans="1:1" x14ac:dyDescent="0.25">
      <c r="A71" s="46" t="s">
        <v>811</v>
      </c>
    </row>
    <row r="72" spans="1:1" x14ac:dyDescent="0.25">
      <c r="A72" s="46" t="s">
        <v>812</v>
      </c>
    </row>
    <row r="73" spans="1:1" x14ac:dyDescent="0.25">
      <c r="A73" s="46" t="s">
        <v>813</v>
      </c>
    </row>
    <row r="74" spans="1:1" x14ac:dyDescent="0.25">
      <c r="A74" s="46" t="s">
        <v>814</v>
      </c>
    </row>
    <row r="75" spans="1:1" x14ac:dyDescent="0.25">
      <c r="A75" s="46" t="s">
        <v>815</v>
      </c>
    </row>
    <row r="76" spans="1:1" x14ac:dyDescent="0.25">
      <c r="A76" s="46" t="s">
        <v>816</v>
      </c>
    </row>
    <row r="77" spans="1:1" x14ac:dyDescent="0.25">
      <c r="A77" s="46" t="s">
        <v>817</v>
      </c>
    </row>
    <row r="78" spans="1:1" x14ac:dyDescent="0.25">
      <c r="A78" s="46" t="s">
        <v>818</v>
      </c>
    </row>
    <row r="79" spans="1:1" x14ac:dyDescent="0.25">
      <c r="A79" s="46" t="s">
        <v>819</v>
      </c>
    </row>
    <row r="80" spans="1:1" x14ac:dyDescent="0.25">
      <c r="A80" s="46" t="s">
        <v>820</v>
      </c>
    </row>
    <row r="81" spans="1:1" x14ac:dyDescent="0.25">
      <c r="A81" s="46" t="s">
        <v>821</v>
      </c>
    </row>
    <row r="82" spans="1:1" x14ac:dyDescent="0.25">
      <c r="A82" s="46" t="s">
        <v>822</v>
      </c>
    </row>
    <row r="83" spans="1:1" x14ac:dyDescent="0.25">
      <c r="A83" s="46" t="s">
        <v>823</v>
      </c>
    </row>
    <row r="84" spans="1:1" x14ac:dyDescent="0.25">
      <c r="A84" s="46" t="s">
        <v>824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4FEA8A-89EE-470F-9631-3777A0EC43A1}">
  <dimension ref="B1:AP27"/>
  <sheetViews>
    <sheetView showGridLines="0" topLeftCell="D1" zoomScale="85" zoomScaleNormal="85" workbookViewId="0">
      <selection activeCell="V26" sqref="G11:V26"/>
    </sheetView>
  </sheetViews>
  <sheetFormatPr defaultRowHeight="15" x14ac:dyDescent="0.25"/>
  <cols>
    <col min="2" max="2" width="12.28515625" bestFit="1" customWidth="1"/>
    <col min="3" max="3" width="28.5703125" bestFit="1" customWidth="1"/>
    <col min="5" max="5" width="43.85546875" customWidth="1"/>
    <col min="6" max="6" width="26" customWidth="1"/>
    <col min="7" max="22" width="4.5703125" customWidth="1"/>
    <col min="24" max="24" width="13.28515625" bestFit="1" customWidth="1"/>
    <col min="25" max="25" width="23.85546875" bestFit="1" customWidth="1"/>
    <col min="27" max="30" width="12.7109375" bestFit="1" customWidth="1"/>
  </cols>
  <sheetData>
    <row r="1" spans="2:42" ht="15.75" thickBot="1" x14ac:dyDescent="0.3"/>
    <row r="2" spans="2:42" ht="15.75" thickBot="1" x14ac:dyDescent="0.3">
      <c r="B2" s="61" t="s">
        <v>0</v>
      </c>
      <c r="C2" s="62"/>
      <c r="E2" s="16" t="s">
        <v>1</v>
      </c>
    </row>
    <row r="3" spans="2:42" ht="15.75" thickBot="1" x14ac:dyDescent="0.3">
      <c r="B3" s="8" t="s">
        <v>2</v>
      </c>
      <c r="C3" s="8" t="s">
        <v>3</v>
      </c>
      <c r="E3" s="6" t="s">
        <v>4</v>
      </c>
    </row>
    <row r="4" spans="2:42" ht="15" customHeight="1" x14ac:dyDescent="0.25">
      <c r="B4" s="10">
        <v>1</v>
      </c>
      <c r="C4" s="11" t="s">
        <v>588</v>
      </c>
      <c r="E4" s="63" t="s">
        <v>6</v>
      </c>
    </row>
    <row r="5" spans="2:42" x14ac:dyDescent="0.25">
      <c r="B5" s="12">
        <v>3</v>
      </c>
      <c r="C5" s="13" t="s">
        <v>589</v>
      </c>
      <c r="E5" s="64"/>
    </row>
    <row r="6" spans="2:42" x14ac:dyDescent="0.25">
      <c r="B6" s="12">
        <v>5</v>
      </c>
      <c r="C6" s="13" t="s">
        <v>590</v>
      </c>
      <c r="E6" s="65" t="s">
        <v>9</v>
      </c>
    </row>
    <row r="7" spans="2:42" x14ac:dyDescent="0.25">
      <c r="B7" s="12">
        <v>7</v>
      </c>
      <c r="C7" s="13" t="s">
        <v>591</v>
      </c>
      <c r="E7" s="65"/>
    </row>
    <row r="8" spans="2:42" x14ac:dyDescent="0.25">
      <c r="B8" s="12">
        <v>9</v>
      </c>
      <c r="C8" s="13" t="s">
        <v>592</v>
      </c>
    </row>
    <row r="10" spans="2:42" ht="196.9" customHeight="1" x14ac:dyDescent="0.25">
      <c r="E10" s="1" t="s">
        <v>43</v>
      </c>
      <c r="F10" s="2" t="s">
        <v>44</v>
      </c>
      <c r="G10" s="3" t="str">
        <f>E11</f>
        <v>Mass</v>
      </c>
      <c r="H10" s="3" t="str">
        <f>E12</f>
        <v>Information</v>
      </c>
      <c r="I10" s="3" t="str">
        <f>E13</f>
        <v>Physical</v>
      </c>
      <c r="J10" s="3" t="str">
        <f>E14</f>
        <v>Energy</v>
      </c>
      <c r="K10" s="3" t="str">
        <f>E15</f>
        <v>Contribution</v>
      </c>
      <c r="L10" s="3" t="str">
        <f>E16</f>
        <v>Development</v>
      </c>
      <c r="M10" s="3" t="str">
        <f>E17</f>
        <v>Operation</v>
      </c>
      <c r="N10" s="3" t="str">
        <f>E18</f>
        <v>Service</v>
      </c>
      <c r="O10" s="3" t="str">
        <f>E19</f>
        <v>Prerequisite</v>
      </c>
      <c r="P10" s="3" t="str">
        <f>E20</f>
        <v>Coordination</v>
      </c>
      <c r="Q10" s="3" t="str">
        <f>E21</f>
        <v>Definition</v>
      </c>
      <c r="R10" s="3" t="str">
        <f>E22</f>
        <v>Contractual</v>
      </c>
      <c r="S10" s="3" t="str">
        <f>E23</f>
        <v>Deliverable</v>
      </c>
      <c r="T10" s="3" t="str">
        <f>E24</f>
        <v>Financial</v>
      </c>
      <c r="U10" s="3" t="str">
        <f>E25</f>
        <v>Legal</v>
      </c>
      <c r="V10" s="3" t="str">
        <f>E26</f>
        <v>Political</v>
      </c>
      <c r="X10" s="6" t="s">
        <v>720</v>
      </c>
      <c r="Y10" s="6" t="s">
        <v>721</v>
      </c>
    </row>
    <row r="11" spans="2:42" x14ac:dyDescent="0.25">
      <c r="E11" s="14" t="s">
        <v>45</v>
      </c>
      <c r="F11" s="42">
        <f t="shared" ref="F11:F26" si="0">AVERAGE(AA11:AP11)</f>
        <v>1.3877066271544534E-2</v>
      </c>
      <c r="G11" s="54">
        <v>1</v>
      </c>
      <c r="H11" s="55">
        <f>1/3</f>
        <v>0.33333333333333331</v>
      </c>
      <c r="I11" s="55">
        <v>1</v>
      </c>
      <c r="J11" s="55">
        <f>1/2</f>
        <v>0.5</v>
      </c>
      <c r="K11" s="56">
        <f>1/4</f>
        <v>0.25</v>
      </c>
      <c r="L11" s="56">
        <f>1/5</f>
        <v>0.2</v>
      </c>
      <c r="M11" s="56">
        <f>1/3</f>
        <v>0.33333333333333331</v>
      </c>
      <c r="N11" s="56">
        <f>1/2</f>
        <v>0.5</v>
      </c>
      <c r="O11" s="56">
        <f>1/2</f>
        <v>0.5</v>
      </c>
      <c r="P11" s="56">
        <f>1/5</f>
        <v>0.2</v>
      </c>
      <c r="Q11" s="56">
        <f>1/2</f>
        <v>0.5</v>
      </c>
      <c r="R11" s="56">
        <f>1/5</f>
        <v>0.2</v>
      </c>
      <c r="S11" s="56">
        <f>1/2</f>
        <v>0.5</v>
      </c>
      <c r="T11" s="56">
        <f>1/7</f>
        <v>0.14285714285714285</v>
      </c>
      <c r="U11" s="56">
        <f>1/7</f>
        <v>0.14285714285714285</v>
      </c>
      <c r="V11" s="56">
        <f>1/9</f>
        <v>0.1111111111111111</v>
      </c>
      <c r="X11" s="6" t="str">
        <f t="shared" ref="X11:X26" si="1">E11</f>
        <v>Mass</v>
      </c>
      <c r="Y11" s="43">
        <f t="shared" ref="Y11:Y26" si="2">F11</f>
        <v>1.3877066271544534E-2</v>
      </c>
      <c r="AA11" s="7">
        <f t="shared" ref="AA11:AA26" si="3">G11/SUM(G$11:G$26)</f>
        <v>1.6666666666666666E-2</v>
      </c>
      <c r="AB11" s="7">
        <f t="shared" ref="AB11:AB26" si="4">H11/SUM(H$11:H$26)</f>
        <v>9.3457943925233638E-3</v>
      </c>
      <c r="AC11" s="7">
        <f t="shared" ref="AC11:AC26" si="5">I11/SUM(I$11:I$26)</f>
        <v>1.6666666666666666E-2</v>
      </c>
      <c r="AD11" s="7">
        <f t="shared" ref="AD11:AD26" si="6">J11/SUM(J$11:J$26)</f>
        <v>8.771929824561403E-3</v>
      </c>
      <c r="AE11" s="7">
        <f t="shared" ref="AE11:AE26" si="7">K11/SUM(K$11:K$26)</f>
        <v>5.0251256281407036E-3</v>
      </c>
      <c r="AF11" s="7">
        <f t="shared" ref="AF11:AF26" si="8">L11/SUM(L$11:L$26)</f>
        <v>1.2145748987854251E-2</v>
      </c>
      <c r="AG11" s="7">
        <f t="shared" ref="AG11:AG26" si="9">M11/SUM(M$11:M$26)</f>
        <v>1.0554089709762533E-2</v>
      </c>
      <c r="AH11" s="7">
        <f t="shared" ref="AH11:AH26" si="10">N11/SUM(N$11:N$26)</f>
        <v>1.5625E-2</v>
      </c>
      <c r="AI11" s="7">
        <f t="shared" ref="AI11:AI26" si="11">O11/SUM(O$11:O$26)</f>
        <v>1.0452961672473867E-2</v>
      </c>
      <c r="AJ11" s="7">
        <f t="shared" ref="AJ11:AJ26" si="12">P11/SUM(P$11:P$26)</f>
        <v>6.5934065934065943E-3</v>
      </c>
      <c r="AK11" s="7">
        <f t="shared" ref="AK11:AK26" si="13">Q11/SUM(Q$11:Q$26)</f>
        <v>1.1764705882352941E-2</v>
      </c>
      <c r="AL11" s="7">
        <f t="shared" ref="AL11:AL26" si="14">R11/SUM(R$11:R$26)</f>
        <v>1.4580801944106927E-2</v>
      </c>
      <c r="AM11" s="7">
        <f t="shared" ref="AM11:AM26" si="15">S11/SUM(S$11:S$26)</f>
        <v>1.7391304347826087E-2</v>
      </c>
      <c r="AN11" s="7">
        <f t="shared" ref="AN11:AN26" si="16">T11/SUM(T$11:T$26)</f>
        <v>1.296829971181556E-2</v>
      </c>
      <c r="AO11" s="7">
        <f t="shared" ref="AO11:AO26" si="17">U11/SUM(U$11:U$26)</f>
        <v>1.9955654101995565E-2</v>
      </c>
      <c r="AP11" s="7">
        <f t="shared" ref="AP11:AP26" si="18">V11/SUM(V$11:V$26)</f>
        <v>3.3524904214559385E-2</v>
      </c>
    </row>
    <row r="12" spans="2:42" x14ac:dyDescent="0.25">
      <c r="E12" s="14" t="s">
        <v>46</v>
      </c>
      <c r="F12" s="42">
        <f t="shared" si="0"/>
        <v>2.8774564808292824E-2</v>
      </c>
      <c r="G12" s="57" cm="1">
        <f t="array" ref="G12">1/INDEX($H$11:$V$11, 1, ROW(A1))</f>
        <v>3</v>
      </c>
      <c r="H12" s="54">
        <v>1</v>
      </c>
      <c r="I12" s="55">
        <v>3</v>
      </c>
      <c r="J12" s="55">
        <v>2</v>
      </c>
      <c r="K12" s="56">
        <v>1</v>
      </c>
      <c r="L12" s="56">
        <f>1/3</f>
        <v>0.33333333333333331</v>
      </c>
      <c r="M12" s="56">
        <f>1/2</f>
        <v>0.5</v>
      </c>
      <c r="N12" s="56">
        <v>1</v>
      </c>
      <c r="O12" s="56">
        <v>1</v>
      </c>
      <c r="P12" s="56">
        <f>1/3</f>
        <v>0.33333333333333331</v>
      </c>
      <c r="Q12" s="56">
        <v>2</v>
      </c>
      <c r="R12" s="56">
        <f>1/3</f>
        <v>0.33333333333333331</v>
      </c>
      <c r="S12" s="56">
        <f>1/2</f>
        <v>0.5</v>
      </c>
      <c r="T12" s="56">
        <f>1/5</f>
        <v>0.2</v>
      </c>
      <c r="U12" s="56">
        <f>1/5</f>
        <v>0.2</v>
      </c>
      <c r="V12" s="56">
        <f>1/7</f>
        <v>0.14285714285714285</v>
      </c>
      <c r="X12" s="6" t="str">
        <f t="shared" si="1"/>
        <v>Information</v>
      </c>
      <c r="Y12" s="43">
        <f t="shared" si="2"/>
        <v>2.8774564808292824E-2</v>
      </c>
      <c r="AA12" s="7">
        <f t="shared" si="3"/>
        <v>0.05</v>
      </c>
      <c r="AB12" s="7">
        <f t="shared" si="4"/>
        <v>2.8037383177570097E-2</v>
      </c>
      <c r="AC12" s="7">
        <f t="shared" si="5"/>
        <v>0.05</v>
      </c>
      <c r="AD12" s="7">
        <f t="shared" si="6"/>
        <v>3.5087719298245612E-2</v>
      </c>
      <c r="AE12" s="7">
        <f t="shared" si="7"/>
        <v>2.0100502512562814E-2</v>
      </c>
      <c r="AF12" s="7">
        <f t="shared" si="8"/>
        <v>2.0242914979757082E-2</v>
      </c>
      <c r="AG12" s="7">
        <f t="shared" si="9"/>
        <v>1.5831134564643801E-2</v>
      </c>
      <c r="AH12" s="7">
        <f t="shared" si="10"/>
        <v>3.125E-2</v>
      </c>
      <c r="AI12" s="7">
        <f t="shared" si="11"/>
        <v>2.0905923344947733E-2</v>
      </c>
      <c r="AJ12" s="7">
        <f t="shared" si="12"/>
        <v>1.0989010989010988E-2</v>
      </c>
      <c r="AK12" s="7">
        <f t="shared" si="13"/>
        <v>4.7058823529411764E-2</v>
      </c>
      <c r="AL12" s="7">
        <f t="shared" si="14"/>
        <v>2.430133657351154E-2</v>
      </c>
      <c r="AM12" s="7">
        <f t="shared" si="15"/>
        <v>1.7391304347826087E-2</v>
      </c>
      <c r="AN12" s="7">
        <f t="shared" si="16"/>
        <v>1.815561959654179E-2</v>
      </c>
      <c r="AO12" s="7">
        <f t="shared" si="17"/>
        <v>2.7937915742793796E-2</v>
      </c>
      <c r="AP12" s="7">
        <f t="shared" si="18"/>
        <v>4.3103448275862072E-2</v>
      </c>
    </row>
    <row r="13" spans="2:42" x14ac:dyDescent="0.25">
      <c r="E13" s="14" t="s">
        <v>47</v>
      </c>
      <c r="F13" s="42">
        <f t="shared" si="0"/>
        <v>1.3877066271544534E-2</v>
      </c>
      <c r="G13" s="57" cm="1">
        <f t="array" ref="G13">1/INDEX($H$11:$V$11, 1, ROW(A2))</f>
        <v>1</v>
      </c>
      <c r="H13" s="57" cm="1">
        <f t="array" ref="H13">1/INDEX($I$12:$V$12, 1, ROW(A1))</f>
        <v>0.33333333333333331</v>
      </c>
      <c r="I13" s="54">
        <v>1</v>
      </c>
      <c r="J13" s="55">
        <f>1/2</f>
        <v>0.5</v>
      </c>
      <c r="K13" s="56">
        <f>1/4</f>
        <v>0.25</v>
      </c>
      <c r="L13" s="56">
        <f>1/5</f>
        <v>0.2</v>
      </c>
      <c r="M13" s="56">
        <f>1/3</f>
        <v>0.33333333333333331</v>
      </c>
      <c r="N13" s="56">
        <f>1/2</f>
        <v>0.5</v>
      </c>
      <c r="O13" s="56">
        <f>1/2</f>
        <v>0.5</v>
      </c>
      <c r="P13" s="56">
        <f>1/5</f>
        <v>0.2</v>
      </c>
      <c r="Q13" s="56">
        <f>1/2</f>
        <v>0.5</v>
      </c>
      <c r="R13" s="56">
        <f>1/5</f>
        <v>0.2</v>
      </c>
      <c r="S13" s="56">
        <f>1/2</f>
        <v>0.5</v>
      </c>
      <c r="T13" s="56">
        <f t="shared" ref="T13:U15" si="19">1/7</f>
        <v>0.14285714285714285</v>
      </c>
      <c r="U13" s="56">
        <f t="shared" si="19"/>
        <v>0.14285714285714285</v>
      </c>
      <c r="V13" s="56">
        <f>1/9</f>
        <v>0.1111111111111111</v>
      </c>
      <c r="X13" s="6" t="str">
        <f t="shared" si="1"/>
        <v>Physical</v>
      </c>
      <c r="Y13" s="43">
        <f t="shared" si="2"/>
        <v>1.3877066271544534E-2</v>
      </c>
      <c r="AA13" s="7">
        <f t="shared" si="3"/>
        <v>1.6666666666666666E-2</v>
      </c>
      <c r="AB13" s="7">
        <f t="shared" si="4"/>
        <v>9.3457943925233638E-3</v>
      </c>
      <c r="AC13" s="7">
        <f t="shared" si="5"/>
        <v>1.6666666666666666E-2</v>
      </c>
      <c r="AD13" s="7">
        <f t="shared" si="6"/>
        <v>8.771929824561403E-3</v>
      </c>
      <c r="AE13" s="7">
        <f t="shared" si="7"/>
        <v>5.0251256281407036E-3</v>
      </c>
      <c r="AF13" s="7">
        <f t="shared" si="8"/>
        <v>1.2145748987854251E-2</v>
      </c>
      <c r="AG13" s="7">
        <f t="shared" si="9"/>
        <v>1.0554089709762533E-2</v>
      </c>
      <c r="AH13" s="7">
        <f t="shared" si="10"/>
        <v>1.5625E-2</v>
      </c>
      <c r="AI13" s="7">
        <f t="shared" si="11"/>
        <v>1.0452961672473867E-2</v>
      </c>
      <c r="AJ13" s="7">
        <f t="shared" si="12"/>
        <v>6.5934065934065943E-3</v>
      </c>
      <c r="AK13" s="7">
        <f t="shared" si="13"/>
        <v>1.1764705882352941E-2</v>
      </c>
      <c r="AL13" s="7">
        <f t="shared" si="14"/>
        <v>1.4580801944106927E-2</v>
      </c>
      <c r="AM13" s="7">
        <f t="shared" si="15"/>
        <v>1.7391304347826087E-2</v>
      </c>
      <c r="AN13" s="7">
        <f t="shared" si="16"/>
        <v>1.296829971181556E-2</v>
      </c>
      <c r="AO13" s="7">
        <f t="shared" si="17"/>
        <v>1.9955654101995565E-2</v>
      </c>
      <c r="AP13" s="7">
        <f t="shared" si="18"/>
        <v>3.3524904214559385E-2</v>
      </c>
    </row>
    <row r="14" spans="2:42" x14ac:dyDescent="0.25">
      <c r="E14" s="14" t="s">
        <v>48</v>
      </c>
      <c r="F14" s="42">
        <f t="shared" si="0"/>
        <v>1.6800701293679311E-2</v>
      </c>
      <c r="G14" s="57" cm="1">
        <f t="array" ref="G14">1/INDEX($H$11:$V$11, 1, ROW(A3))</f>
        <v>2</v>
      </c>
      <c r="H14" s="57" cm="1">
        <f t="array" ref="H14">1/INDEX($I$12:$V$12, 1, ROW(A2))</f>
        <v>0.5</v>
      </c>
      <c r="I14" s="57" cm="1">
        <f t="array" ref="I14">1/INDEX($J$13:$V$13, 1, ROW(A1))</f>
        <v>2</v>
      </c>
      <c r="J14" s="54">
        <v>1</v>
      </c>
      <c r="K14" s="56">
        <f>1/4</f>
        <v>0.25</v>
      </c>
      <c r="L14" s="56">
        <f>1/5</f>
        <v>0.2</v>
      </c>
      <c r="M14" s="56">
        <f>1/3</f>
        <v>0.33333333333333331</v>
      </c>
      <c r="N14" s="56">
        <f>1/2</f>
        <v>0.5</v>
      </c>
      <c r="O14" s="56">
        <f>1/2</f>
        <v>0.5</v>
      </c>
      <c r="P14" s="56">
        <f>1/5</f>
        <v>0.2</v>
      </c>
      <c r="Q14" s="56">
        <f>1/2</f>
        <v>0.5</v>
      </c>
      <c r="R14" s="56">
        <f>1/5</f>
        <v>0.2</v>
      </c>
      <c r="S14" s="56">
        <f>1/2</f>
        <v>0.5</v>
      </c>
      <c r="T14" s="56">
        <f t="shared" si="19"/>
        <v>0.14285714285714285</v>
      </c>
      <c r="U14" s="56">
        <f t="shared" si="19"/>
        <v>0.14285714285714285</v>
      </c>
      <c r="V14" s="56">
        <f>1/9</f>
        <v>0.1111111111111111</v>
      </c>
      <c r="X14" s="6" t="str">
        <f t="shared" si="1"/>
        <v>Energy</v>
      </c>
      <c r="Y14" s="43">
        <f t="shared" si="2"/>
        <v>1.6800701293679311E-2</v>
      </c>
      <c r="AA14" s="7">
        <f t="shared" si="3"/>
        <v>3.3333333333333333E-2</v>
      </c>
      <c r="AB14" s="7">
        <f t="shared" si="4"/>
        <v>1.4018691588785048E-2</v>
      </c>
      <c r="AC14" s="7">
        <f t="shared" si="5"/>
        <v>3.3333333333333333E-2</v>
      </c>
      <c r="AD14" s="7">
        <f t="shared" si="6"/>
        <v>1.7543859649122806E-2</v>
      </c>
      <c r="AE14" s="7">
        <f t="shared" si="7"/>
        <v>5.0251256281407036E-3</v>
      </c>
      <c r="AF14" s="7">
        <f t="shared" si="8"/>
        <v>1.2145748987854251E-2</v>
      </c>
      <c r="AG14" s="7">
        <f t="shared" si="9"/>
        <v>1.0554089709762533E-2</v>
      </c>
      <c r="AH14" s="7">
        <f t="shared" si="10"/>
        <v>1.5625E-2</v>
      </c>
      <c r="AI14" s="7">
        <f t="shared" si="11"/>
        <v>1.0452961672473867E-2</v>
      </c>
      <c r="AJ14" s="7">
        <f t="shared" si="12"/>
        <v>6.5934065934065943E-3</v>
      </c>
      <c r="AK14" s="7">
        <f t="shared" si="13"/>
        <v>1.1764705882352941E-2</v>
      </c>
      <c r="AL14" s="7">
        <f t="shared" si="14"/>
        <v>1.4580801944106927E-2</v>
      </c>
      <c r="AM14" s="7">
        <f t="shared" si="15"/>
        <v>1.7391304347826087E-2</v>
      </c>
      <c r="AN14" s="7">
        <f t="shared" si="16"/>
        <v>1.296829971181556E-2</v>
      </c>
      <c r="AO14" s="7">
        <f t="shared" si="17"/>
        <v>1.9955654101995565E-2</v>
      </c>
      <c r="AP14" s="7">
        <f t="shared" si="18"/>
        <v>3.3524904214559385E-2</v>
      </c>
    </row>
    <row r="15" spans="2:42" x14ac:dyDescent="0.25">
      <c r="E15" s="14" t="s">
        <v>49</v>
      </c>
      <c r="F15" s="42">
        <f t="shared" si="0"/>
        <v>2.7463825146308622E-2</v>
      </c>
      <c r="G15" s="57" cm="1">
        <f t="array" ref="G15">1/INDEX($H$11:$V$11, 1, ROW(A4))</f>
        <v>4</v>
      </c>
      <c r="H15" s="57" cm="1">
        <f t="array" ref="H15">1/INDEX($I$12:$V$12, 1, ROW(A3))</f>
        <v>1</v>
      </c>
      <c r="I15" s="57" cm="1">
        <f t="array" ref="I15">1/INDEX($J$13:$V$13, 1, ROW(A2))</f>
        <v>4</v>
      </c>
      <c r="J15" s="49" cm="1">
        <f t="array" ref="J15">1/INDEX($K$14:$V$14, 1, ROW(A1))</f>
        <v>4</v>
      </c>
      <c r="K15" s="54">
        <v>1</v>
      </c>
      <c r="L15" s="56">
        <f>1/5</f>
        <v>0.2</v>
      </c>
      <c r="M15" s="56">
        <f>1/3</f>
        <v>0.33333333333333331</v>
      </c>
      <c r="N15" s="56">
        <f>1/2</f>
        <v>0.5</v>
      </c>
      <c r="O15" s="56">
        <v>1</v>
      </c>
      <c r="P15" s="56">
        <f>1/5</f>
        <v>0.2</v>
      </c>
      <c r="Q15" s="56">
        <v>1</v>
      </c>
      <c r="R15" s="56">
        <f>1/5</f>
        <v>0.2</v>
      </c>
      <c r="S15" s="56">
        <f>1/2</f>
        <v>0.5</v>
      </c>
      <c r="T15" s="56">
        <f t="shared" si="19"/>
        <v>0.14285714285714285</v>
      </c>
      <c r="U15" s="56">
        <f t="shared" si="19"/>
        <v>0.14285714285714285</v>
      </c>
      <c r="V15" s="56">
        <f>1/9</f>
        <v>0.1111111111111111</v>
      </c>
      <c r="X15" s="6" t="str">
        <f t="shared" si="1"/>
        <v>Contribution</v>
      </c>
      <c r="Y15" s="43">
        <f t="shared" si="2"/>
        <v>2.7463825146308622E-2</v>
      </c>
      <c r="AA15" s="7">
        <f t="shared" si="3"/>
        <v>6.6666666666666666E-2</v>
      </c>
      <c r="AB15" s="7">
        <f t="shared" si="4"/>
        <v>2.8037383177570097E-2</v>
      </c>
      <c r="AC15" s="7">
        <f t="shared" si="5"/>
        <v>6.6666666666666666E-2</v>
      </c>
      <c r="AD15" s="7">
        <f t="shared" si="6"/>
        <v>7.0175438596491224E-2</v>
      </c>
      <c r="AE15" s="7">
        <f t="shared" si="7"/>
        <v>2.0100502512562814E-2</v>
      </c>
      <c r="AF15" s="7">
        <f t="shared" si="8"/>
        <v>1.2145748987854251E-2</v>
      </c>
      <c r="AG15" s="7">
        <f t="shared" si="9"/>
        <v>1.0554089709762533E-2</v>
      </c>
      <c r="AH15" s="7">
        <f t="shared" si="10"/>
        <v>1.5625E-2</v>
      </c>
      <c r="AI15" s="7">
        <f t="shared" si="11"/>
        <v>2.0905923344947733E-2</v>
      </c>
      <c r="AJ15" s="7">
        <f t="shared" si="12"/>
        <v>6.5934065934065943E-3</v>
      </c>
      <c r="AK15" s="7">
        <f t="shared" si="13"/>
        <v>2.3529411764705882E-2</v>
      </c>
      <c r="AL15" s="7">
        <f t="shared" si="14"/>
        <v>1.4580801944106927E-2</v>
      </c>
      <c r="AM15" s="7">
        <f t="shared" si="15"/>
        <v>1.7391304347826087E-2</v>
      </c>
      <c r="AN15" s="7">
        <f t="shared" si="16"/>
        <v>1.296829971181556E-2</v>
      </c>
      <c r="AO15" s="7">
        <f t="shared" si="17"/>
        <v>1.9955654101995565E-2</v>
      </c>
      <c r="AP15" s="7">
        <f t="shared" si="18"/>
        <v>3.3524904214559385E-2</v>
      </c>
    </row>
    <row r="16" spans="2:42" x14ac:dyDescent="0.25">
      <c r="E16" s="14" t="s">
        <v>50</v>
      </c>
      <c r="F16" s="42">
        <f t="shared" si="0"/>
        <v>7.2329608703918843E-2</v>
      </c>
      <c r="G16" s="57" cm="1">
        <f t="array" ref="G16">1/INDEX($H$11:$V$11, 1, ROW(A5))</f>
        <v>5</v>
      </c>
      <c r="H16" s="57" cm="1">
        <f t="array" ref="H16">1/INDEX($I$12:$V$12, 1, ROW(A4))</f>
        <v>3</v>
      </c>
      <c r="I16" s="57" cm="1">
        <f t="array" ref="I16">1/INDEX($J$13:$V$13, 1, ROW(A3))</f>
        <v>5</v>
      </c>
      <c r="J16" s="49" cm="1">
        <f t="array" ref="J16">1/INDEX($K$14:$V$14, 1, ROW(A2))</f>
        <v>5</v>
      </c>
      <c r="K16" s="49" cm="1">
        <f t="array" ref="K16">1/INDEX($L$15:$V$15, 1, ROW(A1))</f>
        <v>5</v>
      </c>
      <c r="L16" s="54">
        <v>1</v>
      </c>
      <c r="M16" s="56">
        <v>3</v>
      </c>
      <c r="N16" s="56">
        <v>3</v>
      </c>
      <c r="O16" s="56">
        <v>3</v>
      </c>
      <c r="P16" s="56">
        <v>2</v>
      </c>
      <c r="Q16" s="56">
        <v>2</v>
      </c>
      <c r="R16" s="56">
        <f>1/2</f>
        <v>0.5</v>
      </c>
      <c r="S16" s="56">
        <v>3</v>
      </c>
      <c r="T16" s="56">
        <f>1/2</f>
        <v>0.5</v>
      </c>
      <c r="U16" s="56">
        <f>1/3</f>
        <v>0.33333333333333331</v>
      </c>
      <c r="V16" s="56">
        <f>1/5</f>
        <v>0.2</v>
      </c>
      <c r="X16" s="6" t="str">
        <f t="shared" si="1"/>
        <v>Development</v>
      </c>
      <c r="Y16" s="43">
        <f t="shared" si="2"/>
        <v>7.2329608703918843E-2</v>
      </c>
      <c r="AA16" s="7">
        <f t="shared" si="3"/>
        <v>8.3333333333333329E-2</v>
      </c>
      <c r="AB16" s="7">
        <f t="shared" si="4"/>
        <v>8.411214953271029E-2</v>
      </c>
      <c r="AC16" s="7">
        <f t="shared" si="5"/>
        <v>8.3333333333333329E-2</v>
      </c>
      <c r="AD16" s="7">
        <f t="shared" si="6"/>
        <v>8.771929824561403E-2</v>
      </c>
      <c r="AE16" s="7">
        <f t="shared" si="7"/>
        <v>0.10050251256281408</v>
      </c>
      <c r="AF16" s="7">
        <f t="shared" si="8"/>
        <v>6.0728744939271245E-2</v>
      </c>
      <c r="AG16" s="7">
        <f t="shared" si="9"/>
        <v>9.4986807387862804E-2</v>
      </c>
      <c r="AH16" s="7">
        <f t="shared" si="10"/>
        <v>9.375E-2</v>
      </c>
      <c r="AI16" s="7">
        <f t="shared" si="11"/>
        <v>6.2717770034843204E-2</v>
      </c>
      <c r="AJ16" s="7">
        <f t="shared" si="12"/>
        <v>6.5934065934065936E-2</v>
      </c>
      <c r="AK16" s="7">
        <f t="shared" si="13"/>
        <v>4.7058823529411764E-2</v>
      </c>
      <c r="AL16" s="7">
        <f t="shared" si="14"/>
        <v>3.6452004860267312E-2</v>
      </c>
      <c r="AM16" s="7">
        <f t="shared" si="15"/>
        <v>0.10434782608695652</v>
      </c>
      <c r="AN16" s="7">
        <f t="shared" si="16"/>
        <v>4.5389048991354465E-2</v>
      </c>
      <c r="AO16" s="7">
        <f t="shared" si="17"/>
        <v>4.6563192904656318E-2</v>
      </c>
      <c r="AP16" s="7">
        <f t="shared" si="18"/>
        <v>6.0344827586206906E-2</v>
      </c>
    </row>
    <row r="17" spans="5:42" x14ac:dyDescent="0.25">
      <c r="E17" s="14" t="s">
        <v>51</v>
      </c>
      <c r="F17" s="42">
        <f t="shared" si="0"/>
        <v>3.9499062451645146E-2</v>
      </c>
      <c r="G17" s="57" cm="1">
        <f t="array" ref="G17">1/INDEX($H$11:$V$11, 1, ROW(A6))</f>
        <v>3</v>
      </c>
      <c r="H17" s="57" cm="1">
        <f t="array" ref="H17">1/INDEX($I$12:$V$12, 1, ROW(A5))</f>
        <v>2</v>
      </c>
      <c r="I17" s="57" cm="1">
        <f t="array" ref="I17">1/INDEX($J$13:$V$13, 1, ROW(A4))</f>
        <v>3</v>
      </c>
      <c r="J17" s="49" cm="1">
        <f t="array" ref="J17">1/INDEX($K$14:$V$14, 1, ROW(A3))</f>
        <v>3</v>
      </c>
      <c r="K17" s="49" cm="1">
        <f t="array" ref="K17">1/INDEX($L$15:$V$15, 1, ROW(A2))</f>
        <v>3</v>
      </c>
      <c r="L17" s="49" cm="1">
        <f t="array" ref="L17">1/INDEX($M$16:$V$16, 1, ROW(A1))</f>
        <v>0.33333333333333331</v>
      </c>
      <c r="M17" s="54">
        <v>1</v>
      </c>
      <c r="N17" s="56">
        <f>1/2</f>
        <v>0.5</v>
      </c>
      <c r="O17" s="56">
        <v>4</v>
      </c>
      <c r="P17" s="56">
        <f>1/2</f>
        <v>0.5</v>
      </c>
      <c r="Q17" s="56">
        <v>2</v>
      </c>
      <c r="R17" s="56">
        <f>1/3</f>
        <v>0.33333333333333331</v>
      </c>
      <c r="S17" s="56">
        <v>1</v>
      </c>
      <c r="T17" s="56">
        <f>1/5</f>
        <v>0.2</v>
      </c>
      <c r="U17" s="56">
        <f>1/5</f>
        <v>0.2</v>
      </c>
      <c r="V17" s="56">
        <f>1/7</f>
        <v>0.14285714285714285</v>
      </c>
      <c r="X17" s="6" t="str">
        <f t="shared" si="1"/>
        <v>Operation</v>
      </c>
      <c r="Y17" s="43">
        <f t="shared" si="2"/>
        <v>3.9499062451645146E-2</v>
      </c>
      <c r="AA17" s="7">
        <f t="shared" si="3"/>
        <v>0.05</v>
      </c>
      <c r="AB17" s="7">
        <f t="shared" si="4"/>
        <v>5.6074766355140193E-2</v>
      </c>
      <c r="AC17" s="7">
        <f t="shared" si="5"/>
        <v>0.05</v>
      </c>
      <c r="AD17" s="7">
        <f t="shared" si="6"/>
        <v>5.2631578947368418E-2</v>
      </c>
      <c r="AE17" s="7">
        <f t="shared" si="7"/>
        <v>6.030150753768844E-2</v>
      </c>
      <c r="AF17" s="7">
        <f t="shared" si="8"/>
        <v>2.0242914979757082E-2</v>
      </c>
      <c r="AG17" s="7">
        <f t="shared" si="9"/>
        <v>3.1662269129287601E-2</v>
      </c>
      <c r="AH17" s="7">
        <f t="shared" si="10"/>
        <v>1.5625E-2</v>
      </c>
      <c r="AI17" s="7">
        <f t="shared" si="11"/>
        <v>8.3623693379790934E-2</v>
      </c>
      <c r="AJ17" s="7">
        <f t="shared" si="12"/>
        <v>1.6483516483516484E-2</v>
      </c>
      <c r="AK17" s="7">
        <f t="shared" si="13"/>
        <v>4.7058823529411764E-2</v>
      </c>
      <c r="AL17" s="7">
        <f t="shared" si="14"/>
        <v>2.430133657351154E-2</v>
      </c>
      <c r="AM17" s="7">
        <f t="shared" si="15"/>
        <v>3.4782608695652174E-2</v>
      </c>
      <c r="AN17" s="7">
        <f t="shared" si="16"/>
        <v>1.815561959654179E-2</v>
      </c>
      <c r="AO17" s="7">
        <f t="shared" si="17"/>
        <v>2.7937915742793796E-2</v>
      </c>
      <c r="AP17" s="7">
        <f t="shared" si="18"/>
        <v>4.3103448275862072E-2</v>
      </c>
    </row>
    <row r="18" spans="5:42" x14ac:dyDescent="0.25">
      <c r="E18" s="14" t="s">
        <v>52</v>
      </c>
      <c r="F18" s="42">
        <f t="shared" si="0"/>
        <v>3.2182245701776219E-2</v>
      </c>
      <c r="G18" s="57" cm="1">
        <f t="array" ref="G18">1/INDEX($H$11:$V$11, 1, ROW(A7))</f>
        <v>2</v>
      </c>
      <c r="H18" s="57" cm="1">
        <f t="array" ref="H18">1/INDEX($I$12:$V$12, 1, ROW(A6))</f>
        <v>1</v>
      </c>
      <c r="I18" s="57" cm="1">
        <f t="array" ref="I18">1/INDEX($J$13:$V$13, 1, ROW(A5))</f>
        <v>2</v>
      </c>
      <c r="J18" s="49" cm="1">
        <f t="array" ref="J18">1/INDEX($K$14:$V$14, 1, ROW(A4))</f>
        <v>2</v>
      </c>
      <c r="K18" s="49" cm="1">
        <f t="array" ref="K18">1/INDEX($L$15:$V$15, 1, ROW(A3))</f>
        <v>2</v>
      </c>
      <c r="L18" s="49" cm="1">
        <f t="array" ref="L18">1/INDEX($M$16:$V$16, 1, ROW(A2))</f>
        <v>0.33333333333333331</v>
      </c>
      <c r="M18" s="49" cm="1">
        <f t="array" ref="M18">1/INDEX($N$17:$V$17, 1, ROW(A1))</f>
        <v>2</v>
      </c>
      <c r="N18" s="54">
        <v>1</v>
      </c>
      <c r="O18" s="56">
        <v>2</v>
      </c>
      <c r="P18" s="56">
        <f>1/2</f>
        <v>0.5</v>
      </c>
      <c r="Q18" s="56">
        <v>1</v>
      </c>
      <c r="R18" s="56">
        <f>1/3</f>
        <v>0.33333333333333331</v>
      </c>
      <c r="S18" s="56">
        <v>1</v>
      </c>
      <c r="T18" s="56">
        <f>1/5</f>
        <v>0.2</v>
      </c>
      <c r="U18" s="56">
        <f>1/5</f>
        <v>0.2</v>
      </c>
      <c r="V18" s="56">
        <f>1/7</f>
        <v>0.14285714285714285</v>
      </c>
      <c r="X18" s="6" t="str">
        <f t="shared" si="1"/>
        <v>Service</v>
      </c>
      <c r="Y18" s="43">
        <f t="shared" si="2"/>
        <v>3.2182245701776219E-2</v>
      </c>
      <c r="AA18" s="7">
        <f t="shared" si="3"/>
        <v>3.3333333333333333E-2</v>
      </c>
      <c r="AB18" s="7">
        <f t="shared" si="4"/>
        <v>2.8037383177570097E-2</v>
      </c>
      <c r="AC18" s="7">
        <f t="shared" si="5"/>
        <v>3.3333333333333333E-2</v>
      </c>
      <c r="AD18" s="7">
        <f t="shared" si="6"/>
        <v>3.5087719298245612E-2</v>
      </c>
      <c r="AE18" s="7">
        <f t="shared" si="7"/>
        <v>4.0201005025125629E-2</v>
      </c>
      <c r="AF18" s="7">
        <f t="shared" si="8"/>
        <v>2.0242914979757082E-2</v>
      </c>
      <c r="AG18" s="7">
        <f t="shared" si="9"/>
        <v>6.3324538258575203E-2</v>
      </c>
      <c r="AH18" s="7">
        <f t="shared" si="10"/>
        <v>3.125E-2</v>
      </c>
      <c r="AI18" s="7">
        <f t="shared" si="11"/>
        <v>4.1811846689895467E-2</v>
      </c>
      <c r="AJ18" s="7">
        <f t="shared" si="12"/>
        <v>1.6483516483516484E-2</v>
      </c>
      <c r="AK18" s="7">
        <f t="shared" si="13"/>
        <v>2.3529411764705882E-2</v>
      </c>
      <c r="AL18" s="7">
        <f t="shared" si="14"/>
        <v>2.430133657351154E-2</v>
      </c>
      <c r="AM18" s="7">
        <f t="shared" si="15"/>
        <v>3.4782608695652174E-2</v>
      </c>
      <c r="AN18" s="7">
        <f t="shared" si="16"/>
        <v>1.815561959654179E-2</v>
      </c>
      <c r="AO18" s="7">
        <f t="shared" si="17"/>
        <v>2.7937915742793796E-2</v>
      </c>
      <c r="AP18" s="7">
        <f t="shared" si="18"/>
        <v>4.3103448275862072E-2</v>
      </c>
    </row>
    <row r="19" spans="5:42" x14ac:dyDescent="0.25">
      <c r="E19" s="14" t="s">
        <v>53</v>
      </c>
      <c r="F19" s="42">
        <f t="shared" si="0"/>
        <v>2.5862154000813469E-2</v>
      </c>
      <c r="G19" s="57" cm="1">
        <f t="array" ref="G19">1/INDEX($H$11:$V$11, 1, ROW(A8))</f>
        <v>2</v>
      </c>
      <c r="H19" s="57" cm="1">
        <f t="array" ref="H19">1/INDEX($I$12:$V$12, 1, ROW(A7))</f>
        <v>1</v>
      </c>
      <c r="I19" s="57" cm="1">
        <f t="array" ref="I19">1/INDEX($J$13:$V$13, 1, ROW(A6))</f>
        <v>2</v>
      </c>
      <c r="J19" s="49" cm="1">
        <f t="array" ref="J19">1/INDEX($K$14:$V$14, 1, ROW(A5))</f>
        <v>2</v>
      </c>
      <c r="K19" s="49" cm="1">
        <f t="array" ref="K19">1/INDEX($L$15:$V$15, 1, ROW(A4))</f>
        <v>1</v>
      </c>
      <c r="L19" s="49" cm="1">
        <f t="array" ref="L19">1/INDEX($M$16:$V$16, 1, ROW(A3))</f>
        <v>0.33333333333333331</v>
      </c>
      <c r="M19" s="49" cm="1">
        <f t="array" ref="M19">1/INDEX($N$17:$V$17, 1, ROW(A2))</f>
        <v>0.25</v>
      </c>
      <c r="N19" s="49" cm="1">
        <f t="array" ref="N19">1/INDEX($O$18:$V$18, 1, ROW(A1))</f>
        <v>0.5</v>
      </c>
      <c r="O19" s="54">
        <v>1</v>
      </c>
      <c r="P19" s="56">
        <f>1/2</f>
        <v>0.5</v>
      </c>
      <c r="Q19" s="56">
        <v>3</v>
      </c>
      <c r="R19" s="56">
        <f>1/4</f>
        <v>0.25</v>
      </c>
      <c r="S19" s="56">
        <v>1</v>
      </c>
      <c r="T19" s="56">
        <f>1/9</f>
        <v>0.1111111111111111</v>
      </c>
      <c r="U19" s="56">
        <f>1/9</f>
        <v>0.1111111111111111</v>
      </c>
      <c r="V19" s="56">
        <f>1/9</f>
        <v>0.1111111111111111</v>
      </c>
      <c r="X19" s="6" t="str">
        <f t="shared" si="1"/>
        <v>Prerequisite</v>
      </c>
      <c r="Y19" s="43">
        <f t="shared" si="2"/>
        <v>2.5862154000813469E-2</v>
      </c>
      <c r="AA19" s="7">
        <f t="shared" si="3"/>
        <v>3.3333333333333333E-2</v>
      </c>
      <c r="AB19" s="7">
        <f t="shared" si="4"/>
        <v>2.8037383177570097E-2</v>
      </c>
      <c r="AC19" s="7">
        <f t="shared" si="5"/>
        <v>3.3333333333333333E-2</v>
      </c>
      <c r="AD19" s="7">
        <f t="shared" si="6"/>
        <v>3.5087719298245612E-2</v>
      </c>
      <c r="AE19" s="7">
        <f t="shared" si="7"/>
        <v>2.0100502512562814E-2</v>
      </c>
      <c r="AF19" s="7">
        <f t="shared" si="8"/>
        <v>2.0242914979757082E-2</v>
      </c>
      <c r="AG19" s="7">
        <f t="shared" si="9"/>
        <v>7.9155672823219003E-3</v>
      </c>
      <c r="AH19" s="7">
        <f t="shared" si="10"/>
        <v>1.5625E-2</v>
      </c>
      <c r="AI19" s="7">
        <f t="shared" si="11"/>
        <v>2.0905923344947733E-2</v>
      </c>
      <c r="AJ19" s="7">
        <f t="shared" si="12"/>
        <v>1.6483516483516484E-2</v>
      </c>
      <c r="AK19" s="7">
        <f t="shared" si="13"/>
        <v>7.0588235294117646E-2</v>
      </c>
      <c r="AL19" s="7">
        <f t="shared" si="14"/>
        <v>1.8226002430133656E-2</v>
      </c>
      <c r="AM19" s="7">
        <f t="shared" si="15"/>
        <v>3.4782608695652174E-2</v>
      </c>
      <c r="AN19" s="7">
        <f t="shared" si="16"/>
        <v>1.0086455331412104E-2</v>
      </c>
      <c r="AO19" s="7">
        <f t="shared" si="17"/>
        <v>1.5521064301552107E-2</v>
      </c>
      <c r="AP19" s="7">
        <f t="shared" si="18"/>
        <v>3.3524904214559385E-2</v>
      </c>
    </row>
    <row r="20" spans="5:42" x14ac:dyDescent="0.25">
      <c r="E20" s="14" t="s">
        <v>54</v>
      </c>
      <c r="F20" s="42">
        <f t="shared" si="0"/>
        <v>5.9569888005899144E-2</v>
      </c>
      <c r="G20" s="57" cm="1">
        <f t="array" ref="G20">1/INDEX($H$11:$V$11, 1, ROW(A9))</f>
        <v>5</v>
      </c>
      <c r="H20" s="57" cm="1">
        <f t="array" ref="H20">1/INDEX($I$12:$V$12, 1, ROW(A8))</f>
        <v>3</v>
      </c>
      <c r="I20" s="57" cm="1">
        <f t="array" ref="I20">1/INDEX($J$13:$V$13, 1, ROW(A7))</f>
        <v>5</v>
      </c>
      <c r="J20" s="49" cm="1">
        <f t="array" ref="J20">1/INDEX($K$14:$V$14, 1, ROW(A6))</f>
        <v>5</v>
      </c>
      <c r="K20" s="49" cm="1">
        <f t="array" ref="K20">1/INDEX($L$15:$V$15, 1, ROW(A5))</f>
        <v>5</v>
      </c>
      <c r="L20" s="49" cm="1">
        <f t="array" ref="L20">1/INDEX($M$16:$V$16, 1, ROW(A4))</f>
        <v>0.5</v>
      </c>
      <c r="M20" s="49" cm="1">
        <f t="array" ref="M20">1/INDEX($N$17:$V$17, 1, ROW(A3))</f>
        <v>2</v>
      </c>
      <c r="N20" s="49" cm="1">
        <f t="array" ref="N20">1/INDEX($O$18:$V$18, 1, ROW(A2))</f>
        <v>2</v>
      </c>
      <c r="O20" s="49" cm="1">
        <f t="array" ref="O20">1/INDEX($P$19:$V$19, 1, ROW(A1))</f>
        <v>2</v>
      </c>
      <c r="P20" s="54">
        <v>1</v>
      </c>
      <c r="Q20" s="56">
        <v>5</v>
      </c>
      <c r="R20" s="56">
        <f>1/3</f>
        <v>0.33333333333333331</v>
      </c>
      <c r="S20" s="56">
        <v>2</v>
      </c>
      <c r="T20" s="56">
        <f>1/5</f>
        <v>0.2</v>
      </c>
      <c r="U20" s="56">
        <f>1/7</f>
        <v>0.14285714285714285</v>
      </c>
      <c r="V20" s="56">
        <f>1/9</f>
        <v>0.1111111111111111</v>
      </c>
      <c r="X20" s="6" t="str">
        <f t="shared" si="1"/>
        <v>Coordination</v>
      </c>
      <c r="Y20" s="43">
        <f t="shared" si="2"/>
        <v>5.9569888005899144E-2</v>
      </c>
      <c r="AA20" s="7">
        <f t="shared" si="3"/>
        <v>8.3333333333333329E-2</v>
      </c>
      <c r="AB20" s="7">
        <f t="shared" si="4"/>
        <v>8.411214953271029E-2</v>
      </c>
      <c r="AC20" s="7">
        <f t="shared" si="5"/>
        <v>8.3333333333333329E-2</v>
      </c>
      <c r="AD20" s="7">
        <f t="shared" si="6"/>
        <v>8.771929824561403E-2</v>
      </c>
      <c r="AE20" s="7">
        <f t="shared" si="7"/>
        <v>0.10050251256281408</v>
      </c>
      <c r="AF20" s="7">
        <f t="shared" si="8"/>
        <v>3.0364372469635623E-2</v>
      </c>
      <c r="AG20" s="7">
        <f t="shared" si="9"/>
        <v>6.3324538258575203E-2</v>
      </c>
      <c r="AH20" s="7">
        <f t="shared" si="10"/>
        <v>6.25E-2</v>
      </c>
      <c r="AI20" s="7">
        <f t="shared" si="11"/>
        <v>4.1811846689895467E-2</v>
      </c>
      <c r="AJ20" s="7">
        <f t="shared" si="12"/>
        <v>3.2967032967032968E-2</v>
      </c>
      <c r="AK20" s="7">
        <f t="shared" si="13"/>
        <v>0.11764705882352941</v>
      </c>
      <c r="AL20" s="7">
        <f t="shared" si="14"/>
        <v>2.430133657351154E-2</v>
      </c>
      <c r="AM20" s="7">
        <f t="shared" si="15"/>
        <v>6.9565217391304349E-2</v>
      </c>
      <c r="AN20" s="7">
        <f t="shared" si="16"/>
        <v>1.815561959654179E-2</v>
      </c>
      <c r="AO20" s="7">
        <f t="shared" si="17"/>
        <v>1.9955654101995565E-2</v>
      </c>
      <c r="AP20" s="7">
        <f t="shared" si="18"/>
        <v>3.3524904214559385E-2</v>
      </c>
    </row>
    <row r="21" spans="5:42" x14ac:dyDescent="0.25">
      <c r="E21" s="14" t="s">
        <v>3</v>
      </c>
      <c r="F21" s="42">
        <f t="shared" si="0"/>
        <v>2.3287782433516049E-2</v>
      </c>
      <c r="G21" s="57" cm="1">
        <f t="array" ref="G21">1/INDEX($H$11:$V$11, 1, ROW(A10))</f>
        <v>2</v>
      </c>
      <c r="H21" s="57" cm="1">
        <f t="array" ref="H21">1/INDEX($I$12:$V$12, 1, ROW(A9))</f>
        <v>0.5</v>
      </c>
      <c r="I21" s="57" cm="1">
        <f t="array" ref="I21">1/INDEX($J$13:$V$13, 1, ROW(A8))</f>
        <v>2</v>
      </c>
      <c r="J21" s="49" cm="1">
        <f t="array" ref="J21">1/INDEX($K$14:$V$14, 1, ROW(A7))</f>
        <v>2</v>
      </c>
      <c r="K21" s="49" cm="1">
        <f t="array" ref="K21">1/INDEX($L$15:$V$15, 1, ROW(A6))</f>
        <v>1</v>
      </c>
      <c r="L21" s="49" cm="1">
        <f t="array" ref="L21">1/INDEX($M$16:$V$16, 1, ROW(A5))</f>
        <v>0.5</v>
      </c>
      <c r="M21" s="49" cm="1">
        <f t="array" ref="M21">1/INDEX($N$17:$V$17, 1, ROW(A4))</f>
        <v>0.5</v>
      </c>
      <c r="N21" s="49" cm="1">
        <f t="array" ref="N21">1/INDEX($O$18:$V$18, 1, ROW(A3))</f>
        <v>1</v>
      </c>
      <c r="O21" s="49" cm="1">
        <f t="array" ref="O21">1/INDEX($P$19:$V$19, 1, ROW(A2))</f>
        <v>0.33333333333333331</v>
      </c>
      <c r="P21" s="49" cm="1">
        <f t="array" ref="P21">1/INDEX($Q$20:$V$20, 1, ROW(A1))</f>
        <v>0.2</v>
      </c>
      <c r="Q21" s="54">
        <v>1</v>
      </c>
      <c r="R21" s="56">
        <f>1/3</f>
        <v>0.33333333333333331</v>
      </c>
      <c r="S21" s="56">
        <f>1/4</f>
        <v>0.25</v>
      </c>
      <c r="T21" s="56">
        <f>1/5</f>
        <v>0.2</v>
      </c>
      <c r="U21" s="56">
        <f>1/5</f>
        <v>0.2</v>
      </c>
      <c r="V21" s="56">
        <f>1/7</f>
        <v>0.14285714285714285</v>
      </c>
      <c r="X21" s="6" t="str">
        <f t="shared" si="1"/>
        <v>Definition</v>
      </c>
      <c r="Y21" s="43">
        <f t="shared" si="2"/>
        <v>2.3287782433516049E-2</v>
      </c>
      <c r="AA21" s="7">
        <f t="shared" si="3"/>
        <v>3.3333333333333333E-2</v>
      </c>
      <c r="AB21" s="7">
        <f t="shared" si="4"/>
        <v>1.4018691588785048E-2</v>
      </c>
      <c r="AC21" s="7">
        <f t="shared" si="5"/>
        <v>3.3333333333333333E-2</v>
      </c>
      <c r="AD21" s="7">
        <f t="shared" si="6"/>
        <v>3.5087719298245612E-2</v>
      </c>
      <c r="AE21" s="7">
        <f t="shared" si="7"/>
        <v>2.0100502512562814E-2</v>
      </c>
      <c r="AF21" s="7">
        <f t="shared" si="8"/>
        <v>3.0364372469635623E-2</v>
      </c>
      <c r="AG21" s="7">
        <f t="shared" si="9"/>
        <v>1.5831134564643801E-2</v>
      </c>
      <c r="AH21" s="7">
        <f t="shared" si="10"/>
        <v>3.125E-2</v>
      </c>
      <c r="AI21" s="7">
        <f t="shared" si="11"/>
        <v>6.9686411149825775E-3</v>
      </c>
      <c r="AJ21" s="7">
        <f t="shared" si="12"/>
        <v>6.5934065934065943E-3</v>
      </c>
      <c r="AK21" s="7">
        <f t="shared" si="13"/>
        <v>2.3529411764705882E-2</v>
      </c>
      <c r="AL21" s="7">
        <f t="shared" si="14"/>
        <v>2.430133657351154E-2</v>
      </c>
      <c r="AM21" s="7">
        <f t="shared" si="15"/>
        <v>8.6956521739130436E-3</v>
      </c>
      <c r="AN21" s="7">
        <f t="shared" si="16"/>
        <v>1.815561959654179E-2</v>
      </c>
      <c r="AO21" s="7">
        <f t="shared" si="17"/>
        <v>2.7937915742793796E-2</v>
      </c>
      <c r="AP21" s="7">
        <f t="shared" si="18"/>
        <v>4.3103448275862072E-2</v>
      </c>
    </row>
    <row r="22" spans="5:42" x14ac:dyDescent="0.25">
      <c r="E22" s="14" t="s">
        <v>55</v>
      </c>
      <c r="F22" s="42">
        <f t="shared" si="0"/>
        <v>8.2522240305975159E-2</v>
      </c>
      <c r="G22" s="57" cm="1">
        <f t="array" ref="G22">1/INDEX($H$11:$V$11, 1, ROW(A11))</f>
        <v>5</v>
      </c>
      <c r="H22" s="57" cm="1">
        <f t="array" ref="H22">1/INDEX($I$12:$V$12, 1, ROW(A10))</f>
        <v>3</v>
      </c>
      <c r="I22" s="57" cm="1">
        <f t="array" ref="I22">1/INDEX($J$13:$V$13, 1, ROW(A9))</f>
        <v>5</v>
      </c>
      <c r="J22" s="49" cm="1">
        <f t="array" ref="J22">1/INDEX($K$14:$V$14, 1, ROW(A8))</f>
        <v>5</v>
      </c>
      <c r="K22" s="49" cm="1">
        <f t="array" ref="K22">1/INDEX($L$15:$V$15, 1, ROW(A7))</f>
        <v>5</v>
      </c>
      <c r="L22" s="49" cm="1">
        <f t="array" ref="L22">1/INDEX($M$16:$V$16, 1, ROW(A6))</f>
        <v>2</v>
      </c>
      <c r="M22" s="49" cm="1">
        <f t="array" ref="M22">1/INDEX($N$17:$V$17, 1, ROW(A5))</f>
        <v>3</v>
      </c>
      <c r="N22" s="49" cm="1">
        <f t="array" ref="N22">1/INDEX($O$18:$V$18, 1, ROW(A4))</f>
        <v>3</v>
      </c>
      <c r="O22" s="49" cm="1">
        <f t="array" ref="O22">1/INDEX($P$19:$V$19, 1, ROW(A3))</f>
        <v>4</v>
      </c>
      <c r="P22" s="49" cm="1">
        <f t="array" ref="P22">1/INDEX($Q$20:$V$20, 1, ROW(A2))</f>
        <v>3</v>
      </c>
      <c r="Q22" s="49" cm="1">
        <f t="array" ref="Q22">1/INDEX($R$21:$V$21, 1, ROW(A1))</f>
        <v>3</v>
      </c>
      <c r="R22" s="54">
        <v>1</v>
      </c>
      <c r="S22" s="56">
        <v>2</v>
      </c>
      <c r="T22" s="56">
        <f>1/2</f>
        <v>0.5</v>
      </c>
      <c r="U22" s="56">
        <f>1/2</f>
        <v>0.5</v>
      </c>
      <c r="V22" s="56">
        <f>1/5</f>
        <v>0.2</v>
      </c>
      <c r="X22" s="6" t="str">
        <f t="shared" si="1"/>
        <v>Contractual</v>
      </c>
      <c r="Y22" s="43">
        <f t="shared" si="2"/>
        <v>8.2522240305975159E-2</v>
      </c>
      <c r="AA22" s="7">
        <f t="shared" si="3"/>
        <v>8.3333333333333329E-2</v>
      </c>
      <c r="AB22" s="7">
        <f t="shared" si="4"/>
        <v>8.411214953271029E-2</v>
      </c>
      <c r="AC22" s="7">
        <f t="shared" si="5"/>
        <v>8.3333333333333329E-2</v>
      </c>
      <c r="AD22" s="7">
        <f t="shared" si="6"/>
        <v>8.771929824561403E-2</v>
      </c>
      <c r="AE22" s="7">
        <f t="shared" si="7"/>
        <v>0.10050251256281408</v>
      </c>
      <c r="AF22" s="7">
        <f t="shared" si="8"/>
        <v>0.12145748987854249</v>
      </c>
      <c r="AG22" s="7">
        <f t="shared" si="9"/>
        <v>9.4986807387862804E-2</v>
      </c>
      <c r="AH22" s="7">
        <f t="shared" si="10"/>
        <v>9.375E-2</v>
      </c>
      <c r="AI22" s="7">
        <f t="shared" si="11"/>
        <v>8.3623693379790934E-2</v>
      </c>
      <c r="AJ22" s="7">
        <f t="shared" si="12"/>
        <v>9.8901098901098911E-2</v>
      </c>
      <c r="AK22" s="7">
        <f t="shared" si="13"/>
        <v>7.0588235294117646E-2</v>
      </c>
      <c r="AL22" s="7">
        <f t="shared" si="14"/>
        <v>7.2904009720534624E-2</v>
      </c>
      <c r="AM22" s="7">
        <f t="shared" si="15"/>
        <v>6.9565217391304349E-2</v>
      </c>
      <c r="AN22" s="7">
        <f t="shared" si="16"/>
        <v>4.5389048991354465E-2</v>
      </c>
      <c r="AO22" s="7">
        <f t="shared" si="17"/>
        <v>6.9844789356984488E-2</v>
      </c>
      <c r="AP22" s="7">
        <f t="shared" si="18"/>
        <v>6.0344827586206906E-2</v>
      </c>
    </row>
    <row r="23" spans="5:42" x14ac:dyDescent="0.25">
      <c r="E23" s="14" t="s">
        <v>56</v>
      </c>
      <c r="F23" s="42">
        <f t="shared" si="0"/>
        <v>3.6576735744395142E-2</v>
      </c>
      <c r="G23" s="57" cm="1">
        <f t="array" ref="G23">1/INDEX($H$11:$V$11, 1, ROW(A12))</f>
        <v>2</v>
      </c>
      <c r="H23" s="57" cm="1">
        <f t="array" ref="H23">1/INDEX($I$12:$V$12, 1, ROW(A11))</f>
        <v>2</v>
      </c>
      <c r="I23" s="57" cm="1">
        <f t="array" ref="I23">1/INDEX($J$13:$V$13, 1, ROW(A10))</f>
        <v>2</v>
      </c>
      <c r="J23" s="49" cm="1">
        <f t="array" ref="J23">1/INDEX($K$14:$V$14, 1, ROW(A9))</f>
        <v>2</v>
      </c>
      <c r="K23" s="49" cm="1">
        <f t="array" ref="K23">1/INDEX($L$15:$V$15, 1, ROW(A8))</f>
        <v>2</v>
      </c>
      <c r="L23" s="49" cm="1">
        <f t="array" ref="L23">1/INDEX($M$16:$V$16, 1, ROW(A7))</f>
        <v>0.33333333333333331</v>
      </c>
      <c r="M23" s="49" cm="1">
        <f t="array" ref="M23">1/INDEX($N$17:$V$17, 1, ROW(A6))</f>
        <v>1</v>
      </c>
      <c r="N23" s="49" cm="1">
        <f t="array" ref="N23">1/INDEX($O$18:$V$18, 1, ROW(A5))</f>
        <v>1</v>
      </c>
      <c r="O23" s="49" cm="1">
        <f t="array" ref="O23">1/INDEX($P$19:$V$19, 1, ROW(A4))</f>
        <v>1</v>
      </c>
      <c r="P23" s="49" cm="1">
        <f t="array" ref="P23">1/INDEX($Q$20:$V$20, 1, ROW(A3))</f>
        <v>0.5</v>
      </c>
      <c r="Q23" s="49" cm="1">
        <f t="array" ref="Q23">1/INDEX($R$21:$V$21, 1, ROW(A2))</f>
        <v>4</v>
      </c>
      <c r="R23" s="49" cm="1">
        <f t="array" ref="R23">1/INDEX($S$22:$V$22, 1, ROW(A1))</f>
        <v>0.5</v>
      </c>
      <c r="S23" s="54">
        <v>1</v>
      </c>
      <c r="T23" s="56">
        <f>1/3</f>
        <v>0.33333333333333331</v>
      </c>
      <c r="U23" s="56">
        <f>1/5</f>
        <v>0.2</v>
      </c>
      <c r="V23" s="56">
        <f>1/7</f>
        <v>0.14285714285714285</v>
      </c>
      <c r="X23" s="6" t="str">
        <f t="shared" si="1"/>
        <v>Deliverable</v>
      </c>
      <c r="Y23" s="43">
        <f t="shared" si="2"/>
        <v>3.6576735744395142E-2</v>
      </c>
      <c r="AA23" s="7">
        <f t="shared" si="3"/>
        <v>3.3333333333333333E-2</v>
      </c>
      <c r="AB23" s="7">
        <f t="shared" si="4"/>
        <v>5.6074766355140193E-2</v>
      </c>
      <c r="AC23" s="7">
        <f t="shared" si="5"/>
        <v>3.3333333333333333E-2</v>
      </c>
      <c r="AD23" s="7">
        <f t="shared" si="6"/>
        <v>3.5087719298245612E-2</v>
      </c>
      <c r="AE23" s="7">
        <f t="shared" si="7"/>
        <v>4.0201005025125629E-2</v>
      </c>
      <c r="AF23" s="7">
        <f t="shared" si="8"/>
        <v>2.0242914979757082E-2</v>
      </c>
      <c r="AG23" s="7">
        <f t="shared" si="9"/>
        <v>3.1662269129287601E-2</v>
      </c>
      <c r="AH23" s="7">
        <f t="shared" si="10"/>
        <v>3.125E-2</v>
      </c>
      <c r="AI23" s="7">
        <f t="shared" si="11"/>
        <v>2.0905923344947733E-2</v>
      </c>
      <c r="AJ23" s="7">
        <f t="shared" si="12"/>
        <v>1.6483516483516484E-2</v>
      </c>
      <c r="AK23" s="7">
        <f t="shared" si="13"/>
        <v>9.4117647058823528E-2</v>
      </c>
      <c r="AL23" s="7">
        <f t="shared" si="14"/>
        <v>3.6452004860267312E-2</v>
      </c>
      <c r="AM23" s="7">
        <f t="shared" si="15"/>
        <v>3.4782608695652174E-2</v>
      </c>
      <c r="AN23" s="7">
        <f t="shared" si="16"/>
        <v>3.0259365994236311E-2</v>
      </c>
      <c r="AO23" s="7">
        <f t="shared" si="17"/>
        <v>2.7937915742793796E-2</v>
      </c>
      <c r="AP23" s="7">
        <f t="shared" si="18"/>
        <v>4.3103448275862072E-2</v>
      </c>
    </row>
    <row r="24" spans="5:42" x14ac:dyDescent="0.25">
      <c r="E24" s="14" t="s">
        <v>57</v>
      </c>
      <c r="F24" s="42">
        <f t="shared" si="0"/>
        <v>0.12592554463094463</v>
      </c>
      <c r="G24" s="57" cm="1">
        <f t="array" ref="G24">1/INDEX($H$11:$V$11, 1, ROW(A13))</f>
        <v>7</v>
      </c>
      <c r="H24" s="57" cm="1">
        <f t="array" ref="H24">1/INDEX($I$12:$V$12, 1, ROW(A12))</f>
        <v>5</v>
      </c>
      <c r="I24" s="57" cm="1">
        <f t="array" ref="I24">1/INDEX($J$13:$V$13, 1, ROW(A11))</f>
        <v>7</v>
      </c>
      <c r="J24" s="49" cm="1">
        <f t="array" ref="J24">1/INDEX($K$14:$V$14, 1, ROW(A10))</f>
        <v>7</v>
      </c>
      <c r="K24" s="49" cm="1">
        <f t="array" ref="K24">1/INDEX($L$15:$V$15, 1, ROW(A9))</f>
        <v>7</v>
      </c>
      <c r="L24" s="49" cm="1">
        <f t="array" ref="L24">1/INDEX($M$16:$V$16, 1, ROW(A8))</f>
        <v>2</v>
      </c>
      <c r="M24" s="49" cm="1">
        <f t="array" ref="M24">1/INDEX($N$17:$V$17, 1, ROW(A7))</f>
        <v>5</v>
      </c>
      <c r="N24" s="49" cm="1">
        <f t="array" ref="N24">1/INDEX($O$18:$V$18, 1, ROW(A6))</f>
        <v>5</v>
      </c>
      <c r="O24" s="49" cm="1">
        <f t="array" ref="O24">1/INDEX($P$19:$V$19, 1, ROW(A5))</f>
        <v>9</v>
      </c>
      <c r="P24" s="49" cm="1">
        <f t="array" ref="P24">1/INDEX($Q$20:$V$20, 1, ROW(A4))</f>
        <v>5</v>
      </c>
      <c r="Q24" s="49" cm="1">
        <f t="array" ref="Q24">1/INDEX($R$21:$V$21, 1, ROW(A3))</f>
        <v>5</v>
      </c>
      <c r="R24" s="49" cm="1">
        <f t="array" ref="R24">1/INDEX($S$22:$V$22, 1, ROW(A2))</f>
        <v>2</v>
      </c>
      <c r="S24" s="49" cm="1">
        <f t="array" ref="S24">1/INDEX($T$23:$V$23, 1, ROW(A1))</f>
        <v>3</v>
      </c>
      <c r="T24" s="54">
        <v>1</v>
      </c>
      <c r="U24" s="56">
        <f>1/2</f>
        <v>0.5</v>
      </c>
      <c r="V24" s="56">
        <f>1/5</f>
        <v>0.2</v>
      </c>
      <c r="X24" s="6" t="str">
        <f t="shared" si="1"/>
        <v>Financial</v>
      </c>
      <c r="Y24" s="43">
        <f t="shared" si="2"/>
        <v>0.12592554463094463</v>
      </c>
      <c r="AA24" s="7">
        <f t="shared" si="3"/>
        <v>0.11666666666666667</v>
      </c>
      <c r="AB24" s="7">
        <f t="shared" si="4"/>
        <v>0.14018691588785048</v>
      </c>
      <c r="AC24" s="7">
        <f t="shared" si="5"/>
        <v>0.11666666666666667</v>
      </c>
      <c r="AD24" s="7">
        <f t="shared" si="6"/>
        <v>0.12280701754385964</v>
      </c>
      <c r="AE24" s="7">
        <f t="shared" si="7"/>
        <v>0.1407035175879397</v>
      </c>
      <c r="AF24" s="7">
        <f t="shared" si="8"/>
        <v>0.12145748987854249</v>
      </c>
      <c r="AG24" s="7">
        <f t="shared" si="9"/>
        <v>0.15831134564643801</v>
      </c>
      <c r="AH24" s="7">
        <f t="shared" si="10"/>
        <v>0.15625</v>
      </c>
      <c r="AI24" s="7">
        <f t="shared" si="11"/>
        <v>0.1881533101045296</v>
      </c>
      <c r="AJ24" s="7">
        <f t="shared" si="12"/>
        <v>0.16483516483516483</v>
      </c>
      <c r="AK24" s="7">
        <f t="shared" si="13"/>
        <v>0.11764705882352941</v>
      </c>
      <c r="AL24" s="7">
        <f t="shared" si="14"/>
        <v>0.14580801944106925</v>
      </c>
      <c r="AM24" s="7">
        <f t="shared" si="15"/>
        <v>0.10434782608695652</v>
      </c>
      <c r="AN24" s="7">
        <f t="shared" si="16"/>
        <v>9.077809798270893E-2</v>
      </c>
      <c r="AO24" s="7">
        <f t="shared" si="17"/>
        <v>6.9844789356984488E-2</v>
      </c>
      <c r="AP24" s="7">
        <f t="shared" si="18"/>
        <v>6.0344827586206906E-2</v>
      </c>
    </row>
    <row r="25" spans="5:42" x14ac:dyDescent="0.25">
      <c r="E25" s="14" t="s">
        <v>58</v>
      </c>
      <c r="F25" s="42">
        <f t="shared" si="0"/>
        <v>0.15074309467230748</v>
      </c>
      <c r="G25" s="57" cm="1">
        <f t="array" ref="G25">1/INDEX($H$11:$V$11, 1, ROW(A14))</f>
        <v>7</v>
      </c>
      <c r="H25" s="57" cm="1">
        <f t="array" ref="H25">1/INDEX($I$12:$V$12, 1, ROW(A13))</f>
        <v>5</v>
      </c>
      <c r="I25" s="57" cm="1">
        <f t="array" ref="I25">1/INDEX($J$13:$V$13, 1, ROW(A12))</f>
        <v>7</v>
      </c>
      <c r="J25" s="49" cm="1">
        <f t="array" ref="J25">1/INDEX($K$14:$V$14, 1, ROW(A11))</f>
        <v>7</v>
      </c>
      <c r="K25" s="49" cm="1">
        <f t="array" ref="K25">1/INDEX($L$15:$V$15, 1, ROW(A10))</f>
        <v>7</v>
      </c>
      <c r="L25" s="49" cm="1">
        <f t="array" ref="L25">1/INDEX($M$16:$V$16, 1, ROW(A9))</f>
        <v>3</v>
      </c>
      <c r="M25" s="49" cm="1">
        <f t="array" ref="M25">1/INDEX($N$17:$V$17, 1, ROW(A8))</f>
        <v>5</v>
      </c>
      <c r="N25" s="49" cm="1">
        <f t="array" ref="N25">1/INDEX($O$18:$V$18, 1, ROW(A7))</f>
        <v>5</v>
      </c>
      <c r="O25" s="49" cm="1">
        <f t="array" ref="O25">1/INDEX($P$19:$V$19, 1, ROW(A6))</f>
        <v>9</v>
      </c>
      <c r="P25" s="49" cm="1">
        <f t="array" ref="P25">1/INDEX($Q$20:$V$20, 1, ROW(A5))</f>
        <v>7</v>
      </c>
      <c r="Q25" s="49" cm="1">
        <f t="array" ref="Q25">1/INDEX($R$21:$V$21, 1, ROW(A4))</f>
        <v>5</v>
      </c>
      <c r="R25" s="49" cm="1">
        <f t="array" ref="R25">1/INDEX($S$22:$V$22, 1, ROW(A3))</f>
        <v>2</v>
      </c>
      <c r="S25" s="49" cm="1">
        <f t="array" ref="S25">1/INDEX($T$23:$V$23, 1, ROW(A2))</f>
        <v>5</v>
      </c>
      <c r="T25" s="49" cm="1">
        <f t="array" ref="T25">1/INDEX($U$24:$V$24, 1, ROW(A1))</f>
        <v>2</v>
      </c>
      <c r="U25" s="54">
        <v>1</v>
      </c>
      <c r="V25" s="56">
        <f>1/3</f>
        <v>0.33333333333333331</v>
      </c>
      <c r="X25" s="6" t="str">
        <f t="shared" si="1"/>
        <v>Legal</v>
      </c>
      <c r="Y25" s="43">
        <f t="shared" si="2"/>
        <v>0.15074309467230748</v>
      </c>
      <c r="AA25" s="7">
        <f t="shared" si="3"/>
        <v>0.11666666666666667</v>
      </c>
      <c r="AB25" s="7">
        <f t="shared" si="4"/>
        <v>0.14018691588785048</v>
      </c>
      <c r="AC25" s="7">
        <f t="shared" si="5"/>
        <v>0.11666666666666667</v>
      </c>
      <c r="AD25" s="7">
        <f t="shared" si="6"/>
        <v>0.12280701754385964</v>
      </c>
      <c r="AE25" s="7">
        <f t="shared" si="7"/>
        <v>0.1407035175879397</v>
      </c>
      <c r="AF25" s="7">
        <f t="shared" si="8"/>
        <v>0.18218623481781374</v>
      </c>
      <c r="AG25" s="7">
        <f t="shared" si="9"/>
        <v>0.15831134564643801</v>
      </c>
      <c r="AH25" s="7">
        <f t="shared" si="10"/>
        <v>0.15625</v>
      </c>
      <c r="AI25" s="7">
        <f t="shared" si="11"/>
        <v>0.1881533101045296</v>
      </c>
      <c r="AJ25" s="7">
        <f t="shared" si="12"/>
        <v>0.23076923076923078</v>
      </c>
      <c r="AK25" s="7">
        <f t="shared" si="13"/>
        <v>0.11764705882352941</v>
      </c>
      <c r="AL25" s="7">
        <f t="shared" si="14"/>
        <v>0.14580801944106925</v>
      </c>
      <c r="AM25" s="7">
        <f t="shared" si="15"/>
        <v>0.17391304347826086</v>
      </c>
      <c r="AN25" s="7">
        <f t="shared" si="16"/>
        <v>0.18155619596541786</v>
      </c>
      <c r="AO25" s="7">
        <f t="shared" si="17"/>
        <v>0.13968957871396898</v>
      </c>
      <c r="AP25" s="7">
        <f t="shared" si="18"/>
        <v>0.10057471264367816</v>
      </c>
    </row>
    <row r="26" spans="5:42" x14ac:dyDescent="0.25">
      <c r="E26" s="14" t="s">
        <v>59</v>
      </c>
      <c r="F26" s="42">
        <f t="shared" si="0"/>
        <v>0.25070841955743889</v>
      </c>
      <c r="G26" s="57" cm="1">
        <f t="array" ref="G26">1/INDEX($H$11:$V$11, 1, ROW(A15))</f>
        <v>9</v>
      </c>
      <c r="H26" s="57" cm="1">
        <f t="array" ref="H26">1/INDEX($I$12:$V$12, 1, ROW(A14))</f>
        <v>7</v>
      </c>
      <c r="I26" s="57" cm="1">
        <f t="array" ref="I26">1/INDEX($J$13:$V$13, 1, ROW(A13))</f>
        <v>9</v>
      </c>
      <c r="J26" s="49" cm="1">
        <f t="array" ref="J26">1/INDEX($K$14:$V$14, 1, ROW(A12))</f>
        <v>9</v>
      </c>
      <c r="K26" s="49" cm="1">
        <f t="array" ref="K26">1/INDEX($L$15:$V$15, 1, ROW(A11))</f>
        <v>9</v>
      </c>
      <c r="L26" s="49" cm="1">
        <f t="array" ref="L26">1/INDEX($M$16:$V$16, 1, ROW(A10))</f>
        <v>5</v>
      </c>
      <c r="M26" s="49" cm="1">
        <f t="array" ref="M26">1/INDEX($N$17:$V$17, 1, ROW(A9))</f>
        <v>7</v>
      </c>
      <c r="N26" s="49" cm="1">
        <f t="array" ref="N26">1/INDEX($O$18:$V$18, 1, ROW(A8))</f>
        <v>7</v>
      </c>
      <c r="O26" s="49" cm="1">
        <f t="array" ref="O26">1/INDEX($P$19:$V$19, 1, ROW(A7))</f>
        <v>9</v>
      </c>
      <c r="P26" s="49" cm="1">
        <f t="array" ref="P26">1/INDEX($Q$20:$V$20, 1, ROW(A6))</f>
        <v>9</v>
      </c>
      <c r="Q26" s="49" cm="1">
        <f t="array" ref="Q26">1/INDEX($R$21:$V$21, 1, ROW(A5))</f>
        <v>7</v>
      </c>
      <c r="R26" s="49" cm="1">
        <f t="array" ref="R26">1/INDEX($S$22:$V$22, 1, ROW(A4))</f>
        <v>5</v>
      </c>
      <c r="S26" s="49" cm="1">
        <f t="array" ref="S26">1/INDEX($T$23:$V$23, 1, ROW(A3))</f>
        <v>7</v>
      </c>
      <c r="T26" s="49" cm="1">
        <f t="array" ref="T26">1/INDEX($U$24:$V$24, 1, ROW(A2))</f>
        <v>5</v>
      </c>
      <c r="U26" s="49" cm="1">
        <f t="array" ref="U26">1/INDEX($V$25:$V$25, 1, ROW(A1))</f>
        <v>3</v>
      </c>
      <c r="V26" s="54">
        <v>1</v>
      </c>
      <c r="X26" s="6" t="str">
        <f t="shared" si="1"/>
        <v>Political</v>
      </c>
      <c r="Y26" s="43">
        <f t="shared" si="2"/>
        <v>0.25070841955743889</v>
      </c>
      <c r="AA26" s="7">
        <f t="shared" si="3"/>
        <v>0.15</v>
      </c>
      <c r="AB26" s="7">
        <f t="shared" si="4"/>
        <v>0.19626168224299068</v>
      </c>
      <c r="AC26" s="7">
        <f t="shared" si="5"/>
        <v>0.15</v>
      </c>
      <c r="AD26" s="7">
        <f t="shared" si="6"/>
        <v>0.15789473684210525</v>
      </c>
      <c r="AE26" s="7">
        <f t="shared" si="7"/>
        <v>0.18090452261306533</v>
      </c>
      <c r="AF26" s="7">
        <f t="shared" si="8"/>
        <v>0.30364372469635625</v>
      </c>
      <c r="AG26" s="7">
        <f t="shared" si="9"/>
        <v>0.22163588390501321</v>
      </c>
      <c r="AH26" s="7">
        <f t="shared" si="10"/>
        <v>0.21875</v>
      </c>
      <c r="AI26" s="7">
        <f t="shared" si="11"/>
        <v>0.1881533101045296</v>
      </c>
      <c r="AJ26" s="7">
        <f t="shared" si="12"/>
        <v>0.2967032967032967</v>
      </c>
      <c r="AK26" s="7">
        <f t="shared" si="13"/>
        <v>0.16470588235294117</v>
      </c>
      <c r="AL26" s="7">
        <f t="shared" si="14"/>
        <v>0.36452004860267312</v>
      </c>
      <c r="AM26" s="7">
        <f t="shared" si="15"/>
        <v>0.24347826086956523</v>
      </c>
      <c r="AN26" s="7">
        <f t="shared" si="16"/>
        <v>0.45389048991354469</v>
      </c>
      <c r="AO26" s="7">
        <f t="shared" si="17"/>
        <v>0.41906873614190693</v>
      </c>
      <c r="AP26" s="7">
        <f t="shared" si="18"/>
        <v>0.30172413793103453</v>
      </c>
    </row>
    <row r="27" spans="5:42" hidden="1" x14ac:dyDescent="0.25">
      <c r="F27" s="30">
        <f>SUM(F11:F26)</f>
        <v>1</v>
      </c>
    </row>
  </sheetData>
  <mergeCells count="3">
    <mergeCell ref="B2:C2"/>
    <mergeCell ref="E4:E5"/>
    <mergeCell ref="E6:E7"/>
  </mergeCells>
  <pageMargins left="0.7" right="0.7" top="0.75" bottom="0.75" header="0.3" footer="0.3"/>
  <pageSetup orientation="portrait" r:id="rId1"/>
  <headerFooter>
    <oddFooter>&amp;C_x000D_&amp;1#&amp;"Calibri"&amp;10&amp;K000000 Non-Sensitive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AEE100-A57A-4493-B30F-48FE3A2A544A}">
  <dimension ref="A1:F3"/>
  <sheetViews>
    <sheetView workbookViewId="0">
      <selection activeCell="E2" sqref="E2:F2"/>
    </sheetView>
  </sheetViews>
  <sheetFormatPr defaultRowHeight="15" x14ac:dyDescent="0.25"/>
  <cols>
    <col min="1" max="1" width="21.140625" bestFit="1" customWidth="1"/>
    <col min="2" max="2" width="13.28515625" bestFit="1" customWidth="1"/>
    <col min="3" max="3" width="142.5703125" bestFit="1" customWidth="1"/>
  </cols>
  <sheetData>
    <row r="1" spans="1:6" x14ac:dyDescent="0.25">
      <c r="A1" s="32" t="s">
        <v>593</v>
      </c>
      <c r="B1" s="32" t="s">
        <v>594</v>
      </c>
      <c r="C1" s="32" t="s">
        <v>595</v>
      </c>
    </row>
    <row r="2" spans="1:6" x14ac:dyDescent="0.25">
      <c r="A2" t="s">
        <v>58</v>
      </c>
      <c r="B2" t="s">
        <v>141</v>
      </c>
      <c r="C2" t="s">
        <v>718</v>
      </c>
      <c r="E2" s="33" t="s">
        <v>141</v>
      </c>
      <c r="F2" s="36" t="s">
        <v>153</v>
      </c>
    </row>
    <row r="3" spans="1:6" x14ac:dyDescent="0.25">
      <c r="A3" t="s">
        <v>59</v>
      </c>
      <c r="B3" t="s">
        <v>153</v>
      </c>
      <c r="C3" t="s">
        <v>717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F86278-69B2-429D-87C7-51B9031F21AE}">
  <dimension ref="A1:C2"/>
  <sheetViews>
    <sheetView workbookViewId="0">
      <selection activeCell="E2" sqref="E2"/>
    </sheetView>
  </sheetViews>
  <sheetFormatPr defaultRowHeight="15" x14ac:dyDescent="0.25"/>
  <cols>
    <col min="1" max="1" width="21.140625" bestFit="1" customWidth="1"/>
    <col min="2" max="2" width="13.28515625" bestFit="1" customWidth="1"/>
    <col min="3" max="3" width="205.7109375" bestFit="1" customWidth="1"/>
  </cols>
  <sheetData>
    <row r="1" spans="1:3" x14ac:dyDescent="0.25">
      <c r="A1" s="32" t="s">
        <v>593</v>
      </c>
      <c r="B1" s="32" t="s">
        <v>594</v>
      </c>
      <c r="C1" s="32" t="s">
        <v>595</v>
      </c>
    </row>
    <row r="2" spans="1:3" x14ac:dyDescent="0.25">
      <c r="A2" t="s">
        <v>59</v>
      </c>
      <c r="B2" t="s">
        <v>138</v>
      </c>
      <c r="C2" t="s">
        <v>719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99D7F1-6520-47D3-8BA4-65F62276559E}">
  <dimension ref="A1:M10"/>
  <sheetViews>
    <sheetView workbookViewId="0">
      <selection activeCell="E2" sqref="E2:M2"/>
    </sheetView>
  </sheetViews>
  <sheetFormatPr defaultRowHeight="15" x14ac:dyDescent="0.25"/>
  <cols>
    <col min="1" max="1" width="21.140625" bestFit="1" customWidth="1"/>
    <col min="2" max="2" width="13.28515625" bestFit="1" customWidth="1"/>
    <col min="3" max="3" width="142.85546875" bestFit="1" customWidth="1"/>
  </cols>
  <sheetData>
    <row r="1" spans="1:13" x14ac:dyDescent="0.25">
      <c r="A1" s="32" t="s">
        <v>593</v>
      </c>
      <c r="B1" s="32" t="s">
        <v>594</v>
      </c>
      <c r="C1" s="32" t="s">
        <v>595</v>
      </c>
    </row>
    <row r="2" spans="1:13" x14ac:dyDescent="0.25">
      <c r="A2" t="s">
        <v>52</v>
      </c>
      <c r="B2" t="s">
        <v>141</v>
      </c>
      <c r="C2" t="s">
        <v>674</v>
      </c>
      <c r="E2" s="33" t="s">
        <v>141</v>
      </c>
      <c r="F2" s="34" t="s">
        <v>145</v>
      </c>
      <c r="G2" s="33" t="s">
        <v>141</v>
      </c>
      <c r="H2" s="34" t="s">
        <v>141</v>
      </c>
      <c r="I2" s="33" t="s">
        <v>138</v>
      </c>
      <c r="J2" s="34" t="s">
        <v>140</v>
      </c>
      <c r="K2" s="33" t="s">
        <v>153</v>
      </c>
      <c r="L2" s="34" t="s">
        <v>153</v>
      </c>
      <c r="M2" s="35" t="s">
        <v>608</v>
      </c>
    </row>
    <row r="3" spans="1:13" x14ac:dyDescent="0.25">
      <c r="A3" t="s">
        <v>53</v>
      </c>
      <c r="B3" t="s">
        <v>145</v>
      </c>
      <c r="C3" t="s">
        <v>675</v>
      </c>
    </row>
    <row r="4" spans="1:13" x14ac:dyDescent="0.25">
      <c r="A4" t="s">
        <v>54</v>
      </c>
      <c r="B4" t="s">
        <v>141</v>
      </c>
      <c r="C4" t="s">
        <v>676</v>
      </c>
    </row>
    <row r="5" spans="1:13" x14ac:dyDescent="0.25">
      <c r="A5" t="s">
        <v>3</v>
      </c>
      <c r="B5" t="s">
        <v>141</v>
      </c>
      <c r="C5" t="s">
        <v>677</v>
      </c>
    </row>
    <row r="6" spans="1:13" x14ac:dyDescent="0.25">
      <c r="A6" t="s">
        <v>55</v>
      </c>
      <c r="B6" t="s">
        <v>138</v>
      </c>
      <c r="C6" t="s">
        <v>678</v>
      </c>
    </row>
    <row r="7" spans="1:13" x14ac:dyDescent="0.25">
      <c r="A7" t="s">
        <v>56</v>
      </c>
      <c r="B7" t="s">
        <v>140</v>
      </c>
      <c r="C7" t="s">
        <v>679</v>
      </c>
    </row>
    <row r="8" spans="1:13" x14ac:dyDescent="0.25">
      <c r="A8" t="s">
        <v>57</v>
      </c>
      <c r="B8" t="s">
        <v>153</v>
      </c>
      <c r="C8" t="s">
        <v>680</v>
      </c>
    </row>
    <row r="9" spans="1:13" x14ac:dyDescent="0.25">
      <c r="A9" t="s">
        <v>58</v>
      </c>
      <c r="B9" t="s">
        <v>153</v>
      </c>
      <c r="C9" t="s">
        <v>681</v>
      </c>
    </row>
    <row r="10" spans="1:13" x14ac:dyDescent="0.25">
      <c r="A10" t="s">
        <v>59</v>
      </c>
      <c r="B10" t="s">
        <v>608</v>
      </c>
      <c r="C10" t="s">
        <v>682</v>
      </c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80103F-7BF6-4B71-BBD8-35776E62A00D}">
  <dimension ref="A1:L9"/>
  <sheetViews>
    <sheetView workbookViewId="0">
      <selection activeCell="E2" sqref="E2:L2"/>
    </sheetView>
  </sheetViews>
  <sheetFormatPr defaultRowHeight="15" x14ac:dyDescent="0.25"/>
  <cols>
    <col min="1" max="1" width="21.140625" bestFit="1" customWidth="1"/>
    <col min="2" max="2" width="13.28515625" bestFit="1" customWidth="1"/>
    <col min="3" max="3" width="166.42578125" bestFit="1" customWidth="1"/>
  </cols>
  <sheetData>
    <row r="1" spans="1:12" x14ac:dyDescent="0.25">
      <c r="A1" s="32" t="s">
        <v>593</v>
      </c>
      <c r="B1" s="32" t="s">
        <v>594</v>
      </c>
      <c r="C1" s="32" t="s">
        <v>595</v>
      </c>
    </row>
    <row r="2" spans="1:12" x14ac:dyDescent="0.25">
      <c r="A2" t="s">
        <v>53</v>
      </c>
      <c r="B2" t="s">
        <v>683</v>
      </c>
      <c r="C2" t="s">
        <v>684</v>
      </c>
      <c r="E2" s="33" t="s">
        <v>683</v>
      </c>
      <c r="F2" s="34" t="s">
        <v>141</v>
      </c>
      <c r="G2" s="33" t="s">
        <v>141</v>
      </c>
      <c r="H2" s="34" t="s">
        <v>138</v>
      </c>
      <c r="I2" s="33" t="s">
        <v>140</v>
      </c>
      <c r="J2" s="34" t="s">
        <v>153</v>
      </c>
      <c r="K2" s="33" t="s">
        <v>153</v>
      </c>
      <c r="L2" s="36" t="s">
        <v>608</v>
      </c>
    </row>
    <row r="3" spans="1:12" x14ac:dyDescent="0.25">
      <c r="A3" t="s">
        <v>54</v>
      </c>
      <c r="B3" t="s">
        <v>141</v>
      </c>
      <c r="C3" t="s">
        <v>685</v>
      </c>
    </row>
    <row r="4" spans="1:12" x14ac:dyDescent="0.25">
      <c r="A4" t="s">
        <v>3</v>
      </c>
      <c r="B4" t="s">
        <v>141</v>
      </c>
      <c r="C4" t="s">
        <v>686</v>
      </c>
    </row>
    <row r="5" spans="1:12" x14ac:dyDescent="0.25">
      <c r="A5" t="s">
        <v>55</v>
      </c>
      <c r="B5" t="s">
        <v>138</v>
      </c>
      <c r="C5" t="s">
        <v>687</v>
      </c>
    </row>
    <row r="6" spans="1:12" x14ac:dyDescent="0.25">
      <c r="A6" t="s">
        <v>56</v>
      </c>
      <c r="B6" t="s">
        <v>140</v>
      </c>
      <c r="C6" t="s">
        <v>688</v>
      </c>
    </row>
    <row r="7" spans="1:12" x14ac:dyDescent="0.25">
      <c r="A7" t="s">
        <v>57</v>
      </c>
      <c r="B7" t="s">
        <v>153</v>
      </c>
      <c r="C7" t="s">
        <v>689</v>
      </c>
    </row>
    <row r="8" spans="1:12" x14ac:dyDescent="0.25">
      <c r="A8" t="s">
        <v>58</v>
      </c>
      <c r="B8" t="s">
        <v>153</v>
      </c>
      <c r="C8" t="s">
        <v>690</v>
      </c>
    </row>
    <row r="9" spans="1:12" x14ac:dyDescent="0.25">
      <c r="A9" t="s">
        <v>59</v>
      </c>
      <c r="B9" t="s">
        <v>608</v>
      </c>
      <c r="C9" t="s">
        <v>691</v>
      </c>
    </row>
  </sheetData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6F4528-786B-4DA5-8924-FA8703537BB8}">
  <dimension ref="A1:K8"/>
  <sheetViews>
    <sheetView workbookViewId="0">
      <selection activeCell="E2" sqref="E2:K2"/>
    </sheetView>
  </sheetViews>
  <sheetFormatPr defaultRowHeight="15" x14ac:dyDescent="0.25"/>
  <cols>
    <col min="1" max="1" width="21.140625" bestFit="1" customWidth="1"/>
    <col min="2" max="2" width="13.28515625" bestFit="1" customWidth="1"/>
    <col min="3" max="3" width="126.7109375" bestFit="1" customWidth="1"/>
  </cols>
  <sheetData>
    <row r="1" spans="1:11" x14ac:dyDescent="0.25">
      <c r="A1" s="32" t="s">
        <v>593</v>
      </c>
      <c r="B1" s="32" t="s">
        <v>594</v>
      </c>
      <c r="C1" s="32" t="s">
        <v>595</v>
      </c>
    </row>
    <row r="2" spans="1:11" x14ac:dyDescent="0.25">
      <c r="A2" t="s">
        <v>54</v>
      </c>
      <c r="B2" t="s">
        <v>153</v>
      </c>
      <c r="C2" t="s">
        <v>692</v>
      </c>
      <c r="E2" s="33" t="s">
        <v>153</v>
      </c>
      <c r="F2" s="34" t="s">
        <v>138</v>
      </c>
      <c r="G2" s="33" t="s">
        <v>608</v>
      </c>
      <c r="H2" s="34" t="s">
        <v>141</v>
      </c>
      <c r="I2" s="33" t="s">
        <v>611</v>
      </c>
      <c r="J2" s="34" t="s">
        <v>611</v>
      </c>
      <c r="K2" s="35" t="s">
        <v>611</v>
      </c>
    </row>
    <row r="3" spans="1:11" x14ac:dyDescent="0.25">
      <c r="A3" t="s">
        <v>3</v>
      </c>
      <c r="B3" t="s">
        <v>138</v>
      </c>
      <c r="C3" t="s">
        <v>693</v>
      </c>
    </row>
    <row r="4" spans="1:11" x14ac:dyDescent="0.25">
      <c r="A4" t="s">
        <v>55</v>
      </c>
      <c r="B4" t="s">
        <v>608</v>
      </c>
      <c r="C4" t="s">
        <v>694</v>
      </c>
    </row>
    <row r="5" spans="1:11" x14ac:dyDescent="0.25">
      <c r="A5" t="s">
        <v>56</v>
      </c>
      <c r="B5" t="s">
        <v>141</v>
      </c>
      <c r="C5" t="s">
        <v>695</v>
      </c>
    </row>
    <row r="6" spans="1:11" x14ac:dyDescent="0.25">
      <c r="A6" t="s">
        <v>57</v>
      </c>
      <c r="B6" t="s">
        <v>611</v>
      </c>
      <c r="C6" t="s">
        <v>696</v>
      </c>
    </row>
    <row r="7" spans="1:11" x14ac:dyDescent="0.25">
      <c r="A7" t="s">
        <v>58</v>
      </c>
      <c r="B7" t="s">
        <v>611</v>
      </c>
      <c r="C7" t="s">
        <v>697</v>
      </c>
    </row>
    <row r="8" spans="1:11" x14ac:dyDescent="0.25">
      <c r="A8" t="s">
        <v>59</v>
      </c>
      <c r="B8" t="s">
        <v>611</v>
      </c>
      <c r="C8" t="s">
        <v>698</v>
      </c>
    </row>
  </sheetData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BC9BB7-E038-40C6-9582-1D7673188061}">
  <dimension ref="A1:J7"/>
  <sheetViews>
    <sheetView workbookViewId="0">
      <selection activeCell="E2" sqref="E2:J2"/>
    </sheetView>
  </sheetViews>
  <sheetFormatPr defaultRowHeight="15" x14ac:dyDescent="0.25"/>
  <cols>
    <col min="1" max="1" width="21.140625" bestFit="1" customWidth="1"/>
    <col min="2" max="2" width="13.28515625" bestFit="1" customWidth="1"/>
    <col min="3" max="3" width="134" bestFit="1" customWidth="1"/>
  </cols>
  <sheetData>
    <row r="1" spans="1:10" x14ac:dyDescent="0.25">
      <c r="A1" s="32" t="s">
        <v>593</v>
      </c>
      <c r="B1" s="32" t="s">
        <v>594</v>
      </c>
      <c r="C1" s="32" t="s">
        <v>595</v>
      </c>
    </row>
    <row r="2" spans="1:10" x14ac:dyDescent="0.25">
      <c r="A2" t="s">
        <v>3</v>
      </c>
      <c r="B2" t="s">
        <v>140</v>
      </c>
      <c r="C2" t="s">
        <v>699</v>
      </c>
      <c r="E2" s="33" t="s">
        <v>140</v>
      </c>
      <c r="F2" s="34" t="s">
        <v>138</v>
      </c>
      <c r="G2" s="33" t="s">
        <v>150</v>
      </c>
      <c r="H2" s="34" t="s">
        <v>153</v>
      </c>
      <c r="I2" s="33" t="s">
        <v>608</v>
      </c>
      <c r="J2" s="36" t="s">
        <v>611</v>
      </c>
    </row>
    <row r="3" spans="1:10" x14ac:dyDescent="0.25">
      <c r="A3" t="s">
        <v>55</v>
      </c>
      <c r="B3" t="s">
        <v>138</v>
      </c>
      <c r="C3" t="s">
        <v>700</v>
      </c>
    </row>
    <row r="4" spans="1:10" x14ac:dyDescent="0.25">
      <c r="A4" t="s">
        <v>56</v>
      </c>
      <c r="B4" t="s">
        <v>150</v>
      </c>
      <c r="C4" t="s">
        <v>701</v>
      </c>
    </row>
    <row r="5" spans="1:10" x14ac:dyDescent="0.25">
      <c r="A5" t="s">
        <v>57</v>
      </c>
      <c r="B5" t="s">
        <v>153</v>
      </c>
      <c r="C5" t="s">
        <v>702</v>
      </c>
    </row>
    <row r="6" spans="1:10" x14ac:dyDescent="0.25">
      <c r="A6" t="s">
        <v>58</v>
      </c>
      <c r="B6" t="s">
        <v>608</v>
      </c>
      <c r="C6" t="s">
        <v>703</v>
      </c>
    </row>
    <row r="7" spans="1:10" x14ac:dyDescent="0.25">
      <c r="A7" t="s">
        <v>59</v>
      </c>
      <c r="B7" t="s">
        <v>611</v>
      </c>
      <c r="C7" t="s">
        <v>704</v>
      </c>
    </row>
  </sheetData>
  <pageMargins left="0.7" right="0.7" top="0.75" bottom="0.75" header="0.3" footer="0.3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F888B5-A45C-417E-88C2-58C2C6AE222F}">
  <dimension ref="A1:I6"/>
  <sheetViews>
    <sheetView workbookViewId="0">
      <selection activeCell="E2" sqref="E2:I2"/>
    </sheetView>
  </sheetViews>
  <sheetFormatPr defaultRowHeight="15" x14ac:dyDescent="0.25"/>
  <cols>
    <col min="1" max="1" width="21.140625" bestFit="1" customWidth="1"/>
    <col min="2" max="2" width="13.28515625" bestFit="1" customWidth="1"/>
    <col min="3" max="3" width="125" bestFit="1" customWidth="1"/>
  </cols>
  <sheetData>
    <row r="1" spans="1:9" x14ac:dyDescent="0.25">
      <c r="A1" s="32" t="s">
        <v>593</v>
      </c>
      <c r="B1" s="32" t="s">
        <v>594</v>
      </c>
      <c r="C1" s="32" t="s">
        <v>595</v>
      </c>
    </row>
    <row r="2" spans="1:9" x14ac:dyDescent="0.25">
      <c r="A2" t="s">
        <v>55</v>
      </c>
      <c r="B2" t="s">
        <v>138</v>
      </c>
      <c r="C2" t="s">
        <v>705</v>
      </c>
      <c r="E2" s="33" t="s">
        <v>138</v>
      </c>
      <c r="F2" s="34" t="s">
        <v>150</v>
      </c>
      <c r="G2" s="33" t="s">
        <v>153</v>
      </c>
      <c r="H2" s="34" t="s">
        <v>153</v>
      </c>
      <c r="I2" s="35" t="s">
        <v>608</v>
      </c>
    </row>
    <row r="3" spans="1:9" x14ac:dyDescent="0.25">
      <c r="A3" t="s">
        <v>56</v>
      </c>
      <c r="B3" t="s">
        <v>150</v>
      </c>
      <c r="C3" t="s">
        <v>706</v>
      </c>
    </row>
    <row r="4" spans="1:9" x14ac:dyDescent="0.25">
      <c r="A4" t="s">
        <v>57</v>
      </c>
      <c r="B4" t="s">
        <v>153</v>
      </c>
      <c r="C4" t="s">
        <v>707</v>
      </c>
    </row>
    <row r="5" spans="1:9" x14ac:dyDescent="0.25">
      <c r="A5" t="s">
        <v>58</v>
      </c>
      <c r="B5" t="s">
        <v>153</v>
      </c>
      <c r="C5" t="s">
        <v>708</v>
      </c>
    </row>
    <row r="6" spans="1:9" x14ac:dyDescent="0.25">
      <c r="A6" t="s">
        <v>59</v>
      </c>
      <c r="B6" t="s">
        <v>608</v>
      </c>
      <c r="C6" t="s">
        <v>709</v>
      </c>
    </row>
  </sheetData>
  <pageMargins left="0.7" right="0.7" top="0.75" bottom="0.75" header="0.3" footer="0.3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BCB51B-E75E-41D4-93B7-A3689CF966AC}">
  <dimension ref="A1:H5"/>
  <sheetViews>
    <sheetView workbookViewId="0">
      <selection activeCell="E2" sqref="E2:H2"/>
    </sheetView>
  </sheetViews>
  <sheetFormatPr defaultRowHeight="15" x14ac:dyDescent="0.25"/>
  <cols>
    <col min="1" max="1" width="21.140625" bestFit="1" customWidth="1"/>
    <col min="2" max="2" width="13.28515625" bestFit="1" customWidth="1"/>
    <col min="3" max="3" width="146.7109375" bestFit="1" customWidth="1"/>
  </cols>
  <sheetData>
    <row r="1" spans="1:8" x14ac:dyDescent="0.25">
      <c r="A1" s="32" t="s">
        <v>593</v>
      </c>
      <c r="B1" s="32" t="s">
        <v>594</v>
      </c>
      <c r="C1" s="32" t="s">
        <v>595</v>
      </c>
    </row>
    <row r="2" spans="1:8" x14ac:dyDescent="0.25">
      <c r="A2" t="s">
        <v>56</v>
      </c>
      <c r="B2" t="s">
        <v>150</v>
      </c>
      <c r="C2" t="s">
        <v>710</v>
      </c>
      <c r="E2" s="33" t="s">
        <v>150</v>
      </c>
      <c r="F2" s="34" t="s">
        <v>141</v>
      </c>
      <c r="G2" s="33" t="s">
        <v>141</v>
      </c>
      <c r="H2" s="36" t="s">
        <v>153</v>
      </c>
    </row>
    <row r="3" spans="1:8" x14ac:dyDescent="0.25">
      <c r="A3" t="s">
        <v>57</v>
      </c>
      <c r="B3" t="s">
        <v>141</v>
      </c>
      <c r="C3" t="s">
        <v>711</v>
      </c>
    </row>
    <row r="4" spans="1:8" x14ac:dyDescent="0.25">
      <c r="A4" t="s">
        <v>58</v>
      </c>
      <c r="B4" t="s">
        <v>141</v>
      </c>
      <c r="C4" t="s">
        <v>712</v>
      </c>
    </row>
    <row r="5" spans="1:8" x14ac:dyDescent="0.25">
      <c r="A5" t="s">
        <v>59</v>
      </c>
      <c r="B5" t="s">
        <v>153</v>
      </c>
      <c r="C5" t="s">
        <v>713</v>
      </c>
    </row>
  </sheetData>
  <pageMargins left="0.7" right="0.7" top="0.75" bottom="0.75" header="0.3" footer="0.3"/>
  <tableParts count="1">
    <tablePart r:id="rId1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8D9DF5-06C2-4ABF-BBCC-F985171D2181}">
  <dimension ref="A1:P13"/>
  <sheetViews>
    <sheetView workbookViewId="0">
      <selection activeCell="E2" sqref="E2:P2"/>
    </sheetView>
  </sheetViews>
  <sheetFormatPr defaultRowHeight="15" x14ac:dyDescent="0.25"/>
  <cols>
    <col min="1" max="1" width="21.140625" bestFit="1" customWidth="1"/>
    <col min="2" max="2" width="13.28515625" bestFit="1" customWidth="1"/>
    <col min="3" max="3" width="134.140625" bestFit="1" customWidth="1"/>
  </cols>
  <sheetData>
    <row r="1" spans="1:16" x14ac:dyDescent="0.25">
      <c r="A1" s="32" t="s">
        <v>593</v>
      </c>
      <c r="B1" s="32" t="s">
        <v>594</v>
      </c>
      <c r="C1" s="32" t="s">
        <v>595</v>
      </c>
    </row>
    <row r="2" spans="1:16" x14ac:dyDescent="0.25">
      <c r="A2" t="s">
        <v>49</v>
      </c>
      <c r="B2" t="s">
        <v>140</v>
      </c>
      <c r="C2" t="s">
        <v>640</v>
      </c>
      <c r="E2" s="33" t="s">
        <v>140</v>
      </c>
      <c r="F2" s="34" t="s">
        <v>153</v>
      </c>
      <c r="G2" s="33" t="s">
        <v>138</v>
      </c>
      <c r="H2" s="34" t="s">
        <v>141</v>
      </c>
      <c r="I2" s="33" t="s">
        <v>150</v>
      </c>
      <c r="J2" s="34" t="s">
        <v>153</v>
      </c>
      <c r="K2" s="33" t="s">
        <v>138</v>
      </c>
      <c r="L2" s="34" t="s">
        <v>153</v>
      </c>
      <c r="M2" s="33" t="s">
        <v>141</v>
      </c>
      <c r="N2" s="34" t="s">
        <v>608</v>
      </c>
      <c r="O2" s="33" t="s">
        <v>608</v>
      </c>
      <c r="P2" s="36" t="s">
        <v>611</v>
      </c>
    </row>
    <row r="3" spans="1:16" x14ac:dyDescent="0.25">
      <c r="A3" t="s">
        <v>50</v>
      </c>
      <c r="B3" t="s">
        <v>153</v>
      </c>
      <c r="C3" t="s">
        <v>641</v>
      </c>
    </row>
    <row r="4" spans="1:16" x14ac:dyDescent="0.25">
      <c r="A4" t="s">
        <v>51</v>
      </c>
      <c r="B4" t="s">
        <v>138</v>
      </c>
      <c r="C4" t="s">
        <v>642</v>
      </c>
    </row>
    <row r="5" spans="1:16" x14ac:dyDescent="0.25">
      <c r="A5" t="s">
        <v>52</v>
      </c>
      <c r="B5" t="s">
        <v>141</v>
      </c>
      <c r="C5" t="s">
        <v>643</v>
      </c>
    </row>
    <row r="6" spans="1:16" x14ac:dyDescent="0.25">
      <c r="A6" t="s">
        <v>53</v>
      </c>
      <c r="B6" t="s">
        <v>150</v>
      </c>
      <c r="C6" t="s">
        <v>644</v>
      </c>
    </row>
    <row r="7" spans="1:16" x14ac:dyDescent="0.25">
      <c r="A7" t="s">
        <v>54</v>
      </c>
      <c r="B7" t="s">
        <v>153</v>
      </c>
      <c r="C7" t="s">
        <v>645</v>
      </c>
    </row>
    <row r="8" spans="1:16" x14ac:dyDescent="0.25">
      <c r="A8" t="s">
        <v>3</v>
      </c>
      <c r="B8" t="s">
        <v>138</v>
      </c>
      <c r="C8" t="s">
        <v>646</v>
      </c>
    </row>
    <row r="9" spans="1:16" x14ac:dyDescent="0.25">
      <c r="A9" t="s">
        <v>55</v>
      </c>
      <c r="B9" t="s">
        <v>153</v>
      </c>
      <c r="C9" t="s">
        <v>647</v>
      </c>
    </row>
    <row r="10" spans="1:16" x14ac:dyDescent="0.25">
      <c r="A10" t="s">
        <v>56</v>
      </c>
      <c r="B10" t="s">
        <v>141</v>
      </c>
      <c r="C10" t="s">
        <v>648</v>
      </c>
    </row>
    <row r="11" spans="1:16" x14ac:dyDescent="0.25">
      <c r="A11" t="s">
        <v>57</v>
      </c>
      <c r="B11" t="s">
        <v>608</v>
      </c>
      <c r="C11" t="s">
        <v>649</v>
      </c>
    </row>
    <row r="12" spans="1:16" x14ac:dyDescent="0.25">
      <c r="A12" t="s">
        <v>58</v>
      </c>
      <c r="B12" t="s">
        <v>608</v>
      </c>
      <c r="C12" t="s">
        <v>650</v>
      </c>
    </row>
    <row r="13" spans="1:16" x14ac:dyDescent="0.25">
      <c r="A13" t="s">
        <v>59</v>
      </c>
      <c r="B13" t="s">
        <v>611</v>
      </c>
      <c r="C13" t="s">
        <v>651</v>
      </c>
    </row>
  </sheetData>
  <pageMargins left="0.7" right="0.7" top="0.75" bottom="0.75" header="0.3" footer="0.3"/>
  <tableParts count="1">
    <tablePart r:id="rId1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DD1BFE-525C-4215-809B-728D0AA5AD5D}">
  <dimension ref="A1:O12"/>
  <sheetViews>
    <sheetView workbookViewId="0">
      <selection activeCell="E2" sqref="E2:O2"/>
    </sheetView>
  </sheetViews>
  <sheetFormatPr defaultRowHeight="15" x14ac:dyDescent="0.25"/>
  <cols>
    <col min="1" max="1" width="21.140625" bestFit="1" customWidth="1"/>
    <col min="2" max="2" width="13.28515625" bestFit="1" customWidth="1"/>
    <col min="3" max="3" width="136" bestFit="1" customWidth="1"/>
  </cols>
  <sheetData>
    <row r="1" spans="1:15" x14ac:dyDescent="0.25">
      <c r="A1" s="32" t="s">
        <v>593</v>
      </c>
      <c r="B1" s="32" t="s">
        <v>594</v>
      </c>
      <c r="C1" s="32" t="s">
        <v>595</v>
      </c>
    </row>
    <row r="2" spans="1:15" x14ac:dyDescent="0.25">
      <c r="A2" t="s">
        <v>50</v>
      </c>
      <c r="B2" t="s">
        <v>153</v>
      </c>
      <c r="C2" t="s">
        <v>652</v>
      </c>
      <c r="E2" s="33" t="s">
        <v>153</v>
      </c>
      <c r="F2" s="34" t="s">
        <v>138</v>
      </c>
      <c r="G2" s="33" t="s">
        <v>141</v>
      </c>
      <c r="H2" s="34" t="s">
        <v>150</v>
      </c>
      <c r="I2" s="33" t="s">
        <v>153</v>
      </c>
      <c r="J2" s="34" t="s">
        <v>138</v>
      </c>
      <c r="K2" s="33" t="s">
        <v>153</v>
      </c>
      <c r="L2" s="34" t="s">
        <v>141</v>
      </c>
      <c r="M2" s="33" t="s">
        <v>608</v>
      </c>
      <c r="N2" s="34" t="s">
        <v>608</v>
      </c>
      <c r="O2" s="35" t="s">
        <v>611</v>
      </c>
    </row>
    <row r="3" spans="1:15" x14ac:dyDescent="0.25">
      <c r="A3" t="s">
        <v>51</v>
      </c>
      <c r="B3" t="s">
        <v>138</v>
      </c>
      <c r="C3" t="s">
        <v>653</v>
      </c>
    </row>
    <row r="4" spans="1:15" x14ac:dyDescent="0.25">
      <c r="A4" t="s">
        <v>52</v>
      </c>
      <c r="B4" t="s">
        <v>141</v>
      </c>
      <c r="C4" t="s">
        <v>654</v>
      </c>
    </row>
    <row r="5" spans="1:15" x14ac:dyDescent="0.25">
      <c r="A5" t="s">
        <v>53</v>
      </c>
      <c r="B5" t="s">
        <v>150</v>
      </c>
      <c r="C5" t="s">
        <v>655</v>
      </c>
    </row>
    <row r="6" spans="1:15" x14ac:dyDescent="0.25">
      <c r="A6" t="s">
        <v>54</v>
      </c>
      <c r="B6" t="s">
        <v>153</v>
      </c>
      <c r="C6" t="s">
        <v>656</v>
      </c>
    </row>
    <row r="7" spans="1:15" x14ac:dyDescent="0.25">
      <c r="A7" t="s">
        <v>3</v>
      </c>
      <c r="B7" t="s">
        <v>138</v>
      </c>
      <c r="C7" t="s">
        <v>657</v>
      </c>
    </row>
    <row r="8" spans="1:15" x14ac:dyDescent="0.25">
      <c r="A8" t="s">
        <v>55</v>
      </c>
      <c r="B8" t="s">
        <v>153</v>
      </c>
      <c r="C8" t="s">
        <v>658</v>
      </c>
    </row>
    <row r="9" spans="1:15" x14ac:dyDescent="0.25">
      <c r="A9" t="s">
        <v>56</v>
      </c>
      <c r="B9" t="s">
        <v>141</v>
      </c>
      <c r="C9" t="s">
        <v>659</v>
      </c>
    </row>
    <row r="10" spans="1:15" x14ac:dyDescent="0.25">
      <c r="A10" t="s">
        <v>57</v>
      </c>
      <c r="B10" t="s">
        <v>608</v>
      </c>
      <c r="C10" t="s">
        <v>660</v>
      </c>
    </row>
    <row r="11" spans="1:15" x14ac:dyDescent="0.25">
      <c r="A11" t="s">
        <v>58</v>
      </c>
      <c r="B11" t="s">
        <v>608</v>
      </c>
      <c r="C11" t="s">
        <v>661</v>
      </c>
    </row>
    <row r="12" spans="1:15" x14ac:dyDescent="0.25">
      <c r="A12" t="s">
        <v>59</v>
      </c>
      <c r="B12" t="s">
        <v>611</v>
      </c>
      <c r="C12" t="s">
        <v>662</v>
      </c>
    </row>
  </sheetData>
  <pageMargins left="0.7" right="0.7" top="0.75" bottom="0.75" header="0.3" footer="0.3"/>
  <tableParts count="1">
    <tablePart r:id="rId1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A8A59C-9D03-4600-812D-8D4B1C88DABB}">
  <dimension ref="A1:N11"/>
  <sheetViews>
    <sheetView workbookViewId="0">
      <selection activeCell="E2" sqref="E2:N2"/>
    </sheetView>
  </sheetViews>
  <sheetFormatPr defaultRowHeight="15" x14ac:dyDescent="0.25"/>
  <cols>
    <col min="1" max="1" width="21.140625" bestFit="1" customWidth="1"/>
    <col min="2" max="2" width="13.28515625" bestFit="1" customWidth="1"/>
    <col min="3" max="3" width="167.42578125" bestFit="1" customWidth="1"/>
  </cols>
  <sheetData>
    <row r="1" spans="1:14" x14ac:dyDescent="0.25">
      <c r="A1" s="32" t="s">
        <v>593</v>
      </c>
      <c r="B1" s="32" t="s">
        <v>594</v>
      </c>
      <c r="C1" s="32" t="s">
        <v>595</v>
      </c>
    </row>
    <row r="2" spans="1:14" x14ac:dyDescent="0.25">
      <c r="A2" t="s">
        <v>51</v>
      </c>
      <c r="B2" t="s">
        <v>145</v>
      </c>
      <c r="C2" t="s">
        <v>663</v>
      </c>
      <c r="E2" s="33" t="s">
        <v>145</v>
      </c>
      <c r="F2" s="34" t="s">
        <v>145</v>
      </c>
      <c r="G2" s="33" t="s">
        <v>665</v>
      </c>
      <c r="H2" s="34" t="s">
        <v>150</v>
      </c>
      <c r="I2" s="33" t="s">
        <v>150</v>
      </c>
      <c r="J2" s="34" t="s">
        <v>141</v>
      </c>
      <c r="K2" s="33" t="s">
        <v>145</v>
      </c>
      <c r="L2" s="34" t="s">
        <v>141</v>
      </c>
      <c r="M2" s="33" t="s">
        <v>138</v>
      </c>
      <c r="N2" s="36" t="s">
        <v>153</v>
      </c>
    </row>
    <row r="3" spans="1:14" x14ac:dyDescent="0.25">
      <c r="A3" t="s">
        <v>52</v>
      </c>
      <c r="B3" t="s">
        <v>145</v>
      </c>
      <c r="C3" t="s">
        <v>664</v>
      </c>
    </row>
    <row r="4" spans="1:14" x14ac:dyDescent="0.25">
      <c r="A4" t="s">
        <v>53</v>
      </c>
      <c r="B4" t="s">
        <v>665</v>
      </c>
      <c r="C4" t="s">
        <v>666</v>
      </c>
    </row>
    <row r="5" spans="1:14" x14ac:dyDescent="0.25">
      <c r="A5" t="s">
        <v>54</v>
      </c>
      <c r="B5" t="s">
        <v>150</v>
      </c>
      <c r="C5" t="s">
        <v>667</v>
      </c>
    </row>
    <row r="6" spans="1:14" x14ac:dyDescent="0.25">
      <c r="A6" t="s">
        <v>3</v>
      </c>
      <c r="B6" t="s">
        <v>150</v>
      </c>
      <c r="C6" t="s">
        <v>668</v>
      </c>
    </row>
    <row r="7" spans="1:14" x14ac:dyDescent="0.25">
      <c r="A7" t="s">
        <v>55</v>
      </c>
      <c r="B7" t="s">
        <v>141</v>
      </c>
      <c r="C7" t="s">
        <v>669</v>
      </c>
    </row>
    <row r="8" spans="1:14" x14ac:dyDescent="0.25">
      <c r="A8" t="s">
        <v>56</v>
      </c>
      <c r="B8" t="s">
        <v>145</v>
      </c>
      <c r="C8" t="s">
        <v>670</v>
      </c>
    </row>
    <row r="9" spans="1:14" x14ac:dyDescent="0.25">
      <c r="A9" t="s">
        <v>57</v>
      </c>
      <c r="B9" t="s">
        <v>141</v>
      </c>
      <c r="C9" t="s">
        <v>671</v>
      </c>
    </row>
    <row r="10" spans="1:14" x14ac:dyDescent="0.25">
      <c r="A10" t="s">
        <v>58</v>
      </c>
      <c r="B10" t="s">
        <v>138</v>
      </c>
      <c r="C10" t="s">
        <v>672</v>
      </c>
    </row>
    <row r="11" spans="1:14" x14ac:dyDescent="0.25">
      <c r="A11" t="s">
        <v>59</v>
      </c>
      <c r="B11" t="s">
        <v>153</v>
      </c>
      <c r="C11" t="s">
        <v>673</v>
      </c>
    </row>
  </sheetData>
  <pageMargins left="0.7" right="0.7" top="0.75" bottom="0.75" header="0.3" footer="0.3"/>
  <tableParts count="1">
    <tablePart r:id="rId1"/>
  </tablePart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F08B25-B3B2-4399-A17F-D19FEBED5C80}">
  <dimension ref="A1:S16"/>
  <sheetViews>
    <sheetView workbookViewId="0">
      <selection activeCell="E2" sqref="E2:S2"/>
    </sheetView>
  </sheetViews>
  <sheetFormatPr defaultRowHeight="15" x14ac:dyDescent="0.25"/>
  <cols>
    <col min="1" max="1" width="21.140625" bestFit="1" customWidth="1"/>
    <col min="2" max="2" width="13.28515625" bestFit="1" customWidth="1"/>
    <col min="3" max="3" width="128.5703125" bestFit="1" customWidth="1"/>
  </cols>
  <sheetData>
    <row r="1" spans="1:19" x14ac:dyDescent="0.25">
      <c r="A1" s="32" t="s">
        <v>593</v>
      </c>
      <c r="B1" s="32" t="s">
        <v>594</v>
      </c>
      <c r="C1" s="32" t="s">
        <v>595</v>
      </c>
    </row>
    <row r="2" spans="1:19" x14ac:dyDescent="0.25">
      <c r="A2" t="s">
        <v>46</v>
      </c>
      <c r="B2" t="s">
        <v>138</v>
      </c>
      <c r="C2" t="s">
        <v>596</v>
      </c>
      <c r="E2" s="33" t="s">
        <v>138</v>
      </c>
      <c r="F2" s="34" t="s">
        <v>140</v>
      </c>
      <c r="G2" s="33" t="s">
        <v>141</v>
      </c>
      <c r="H2" s="34" t="s">
        <v>141</v>
      </c>
      <c r="I2" s="33" t="s">
        <v>153</v>
      </c>
      <c r="J2" s="34" t="s">
        <v>138</v>
      </c>
      <c r="K2" s="33" t="s">
        <v>141</v>
      </c>
      <c r="L2" s="34" t="s">
        <v>150</v>
      </c>
      <c r="M2" s="33" t="s">
        <v>153</v>
      </c>
      <c r="N2" s="34" t="s">
        <v>153</v>
      </c>
      <c r="O2" s="33" t="s">
        <v>153</v>
      </c>
      <c r="P2" s="34" t="s">
        <v>141</v>
      </c>
      <c r="Q2" s="33" t="s">
        <v>608</v>
      </c>
      <c r="R2" s="34" t="s">
        <v>608</v>
      </c>
      <c r="S2" s="35" t="s">
        <v>611</v>
      </c>
    </row>
    <row r="3" spans="1:19" x14ac:dyDescent="0.25">
      <c r="A3" t="s">
        <v>47</v>
      </c>
      <c r="B3" t="s">
        <v>140</v>
      </c>
      <c r="C3" t="s">
        <v>597</v>
      </c>
    </row>
    <row r="4" spans="1:19" x14ac:dyDescent="0.25">
      <c r="A4" t="s">
        <v>48</v>
      </c>
      <c r="B4" t="s">
        <v>141</v>
      </c>
      <c r="C4" t="s">
        <v>598</v>
      </c>
    </row>
    <row r="5" spans="1:19" x14ac:dyDescent="0.25">
      <c r="A5" t="s">
        <v>49</v>
      </c>
      <c r="B5" t="s">
        <v>141</v>
      </c>
      <c r="C5" t="s">
        <v>599</v>
      </c>
    </row>
    <row r="6" spans="1:19" x14ac:dyDescent="0.25">
      <c r="A6" t="s">
        <v>50</v>
      </c>
      <c r="B6" t="s">
        <v>153</v>
      </c>
      <c r="C6" t="s">
        <v>600</v>
      </c>
    </row>
    <row r="7" spans="1:19" x14ac:dyDescent="0.25">
      <c r="A7" t="s">
        <v>51</v>
      </c>
      <c r="B7" t="s">
        <v>138</v>
      </c>
      <c r="C7" t="s">
        <v>601</v>
      </c>
    </row>
    <row r="8" spans="1:19" x14ac:dyDescent="0.25">
      <c r="A8" t="s">
        <v>52</v>
      </c>
      <c r="B8" t="s">
        <v>141</v>
      </c>
      <c r="C8" t="s">
        <v>602</v>
      </c>
    </row>
    <row r="9" spans="1:19" x14ac:dyDescent="0.25">
      <c r="A9" t="s">
        <v>53</v>
      </c>
      <c r="B9" t="s">
        <v>150</v>
      </c>
      <c r="C9" t="s">
        <v>603</v>
      </c>
    </row>
    <row r="10" spans="1:19" x14ac:dyDescent="0.25">
      <c r="A10" t="s">
        <v>54</v>
      </c>
      <c r="B10" t="s">
        <v>153</v>
      </c>
      <c r="C10" t="s">
        <v>604</v>
      </c>
    </row>
    <row r="11" spans="1:19" x14ac:dyDescent="0.25">
      <c r="A11" t="s">
        <v>3</v>
      </c>
      <c r="B11" t="s">
        <v>153</v>
      </c>
      <c r="C11" t="s">
        <v>605</v>
      </c>
    </row>
    <row r="12" spans="1:19" x14ac:dyDescent="0.25">
      <c r="A12" t="s">
        <v>55</v>
      </c>
      <c r="B12" t="s">
        <v>153</v>
      </c>
      <c r="C12" t="s">
        <v>606</v>
      </c>
    </row>
    <row r="13" spans="1:19" x14ac:dyDescent="0.25">
      <c r="A13" t="s">
        <v>56</v>
      </c>
      <c r="B13" t="s">
        <v>141</v>
      </c>
      <c r="C13" t="s">
        <v>607</v>
      </c>
    </row>
    <row r="14" spans="1:19" x14ac:dyDescent="0.25">
      <c r="A14" t="s">
        <v>57</v>
      </c>
      <c r="B14" t="s">
        <v>608</v>
      </c>
      <c r="C14" t="s">
        <v>609</v>
      </c>
    </row>
    <row r="15" spans="1:19" x14ac:dyDescent="0.25">
      <c r="A15" t="s">
        <v>58</v>
      </c>
      <c r="B15" t="s">
        <v>608</v>
      </c>
      <c r="C15" t="s">
        <v>610</v>
      </c>
    </row>
    <row r="16" spans="1:19" x14ac:dyDescent="0.25">
      <c r="A16" t="s">
        <v>59</v>
      </c>
      <c r="B16" t="s">
        <v>611</v>
      </c>
      <c r="C16" t="s">
        <v>612</v>
      </c>
    </row>
  </sheetData>
  <pageMargins left="0.7" right="0.7" top="0.75" bottom="0.75" header="0.3" footer="0.3"/>
  <tableParts count="1">
    <tablePart r:id="rId1"/>
  </tablePart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1FCE1C-3D43-438B-87B7-9EF8146BF2A9}">
  <dimension ref="A1:R15"/>
  <sheetViews>
    <sheetView workbookViewId="0">
      <selection activeCell="E2" sqref="E2:R2"/>
    </sheetView>
  </sheetViews>
  <sheetFormatPr defaultRowHeight="15" x14ac:dyDescent="0.25"/>
  <cols>
    <col min="1" max="1" width="21.140625" bestFit="1" customWidth="1"/>
    <col min="2" max="2" width="13.28515625" bestFit="1" customWidth="1"/>
    <col min="3" max="3" width="159.85546875" bestFit="1" customWidth="1"/>
  </cols>
  <sheetData>
    <row r="1" spans="1:18" x14ac:dyDescent="0.25">
      <c r="A1" s="32" t="s">
        <v>593</v>
      </c>
      <c r="B1" s="32" t="s">
        <v>594</v>
      </c>
      <c r="C1" s="32" t="s">
        <v>595</v>
      </c>
    </row>
    <row r="2" spans="1:18" x14ac:dyDescent="0.25">
      <c r="A2" t="s">
        <v>47</v>
      </c>
      <c r="B2" t="s">
        <v>145</v>
      </c>
      <c r="C2" t="s">
        <v>613</v>
      </c>
      <c r="E2" s="33" t="s">
        <v>145</v>
      </c>
      <c r="F2" s="34" t="s">
        <v>150</v>
      </c>
      <c r="G2" s="33" t="s">
        <v>150</v>
      </c>
      <c r="H2" s="34" t="s">
        <v>138</v>
      </c>
      <c r="I2" s="33" t="s">
        <v>141</v>
      </c>
      <c r="J2" s="34" t="s">
        <v>140</v>
      </c>
      <c r="K2" s="33" t="s">
        <v>145</v>
      </c>
      <c r="L2" s="34" t="s">
        <v>138</v>
      </c>
      <c r="M2" s="33" t="s">
        <v>141</v>
      </c>
      <c r="N2" s="34" t="s">
        <v>138</v>
      </c>
      <c r="O2" s="33" t="s">
        <v>141</v>
      </c>
      <c r="P2" s="34" t="s">
        <v>153</v>
      </c>
      <c r="Q2" s="33" t="s">
        <v>153</v>
      </c>
      <c r="R2" s="36" t="s">
        <v>608</v>
      </c>
    </row>
    <row r="3" spans="1:18" x14ac:dyDescent="0.25">
      <c r="A3" t="s">
        <v>48</v>
      </c>
      <c r="B3" t="s">
        <v>150</v>
      </c>
      <c r="C3" t="s">
        <v>614</v>
      </c>
    </row>
    <row r="4" spans="1:18" x14ac:dyDescent="0.25">
      <c r="A4" t="s">
        <v>49</v>
      </c>
      <c r="B4" t="s">
        <v>150</v>
      </c>
      <c r="C4" t="s">
        <v>615</v>
      </c>
    </row>
    <row r="5" spans="1:18" x14ac:dyDescent="0.25">
      <c r="A5" t="s">
        <v>50</v>
      </c>
      <c r="B5" t="s">
        <v>138</v>
      </c>
      <c r="C5" t="s">
        <v>616</v>
      </c>
    </row>
    <row r="6" spans="1:18" x14ac:dyDescent="0.25">
      <c r="A6" t="s">
        <v>51</v>
      </c>
      <c r="B6" t="s">
        <v>141</v>
      </c>
      <c r="C6" t="s">
        <v>617</v>
      </c>
    </row>
    <row r="7" spans="1:18" x14ac:dyDescent="0.25">
      <c r="A7" t="s">
        <v>52</v>
      </c>
      <c r="B7" t="s">
        <v>140</v>
      </c>
      <c r="C7" t="s">
        <v>618</v>
      </c>
    </row>
    <row r="8" spans="1:18" x14ac:dyDescent="0.25">
      <c r="A8" t="s">
        <v>53</v>
      </c>
      <c r="B8" t="s">
        <v>145</v>
      </c>
      <c r="C8" t="s">
        <v>619</v>
      </c>
    </row>
    <row r="9" spans="1:18" x14ac:dyDescent="0.25">
      <c r="A9" t="s">
        <v>54</v>
      </c>
      <c r="B9" t="s">
        <v>138</v>
      </c>
      <c r="C9" t="s">
        <v>620</v>
      </c>
    </row>
    <row r="10" spans="1:18" x14ac:dyDescent="0.25">
      <c r="A10" t="s">
        <v>3</v>
      </c>
      <c r="B10" t="s">
        <v>141</v>
      </c>
      <c r="C10" t="s">
        <v>621</v>
      </c>
    </row>
    <row r="11" spans="1:18" x14ac:dyDescent="0.25">
      <c r="A11" t="s">
        <v>55</v>
      </c>
      <c r="B11" t="s">
        <v>138</v>
      </c>
      <c r="C11" t="s">
        <v>622</v>
      </c>
    </row>
    <row r="12" spans="1:18" x14ac:dyDescent="0.25">
      <c r="A12" t="s">
        <v>56</v>
      </c>
      <c r="B12" t="s">
        <v>141</v>
      </c>
      <c r="C12" t="s">
        <v>623</v>
      </c>
    </row>
    <row r="13" spans="1:18" x14ac:dyDescent="0.25">
      <c r="A13" t="s">
        <v>57</v>
      </c>
      <c r="B13" t="s">
        <v>153</v>
      </c>
      <c r="C13" t="s">
        <v>624</v>
      </c>
    </row>
    <row r="14" spans="1:18" x14ac:dyDescent="0.25">
      <c r="A14" t="s">
        <v>58</v>
      </c>
      <c r="B14" t="s">
        <v>153</v>
      </c>
      <c r="C14" t="s">
        <v>625</v>
      </c>
    </row>
    <row r="15" spans="1:18" x14ac:dyDescent="0.25">
      <c r="A15" t="s">
        <v>59</v>
      </c>
      <c r="B15" t="s">
        <v>608</v>
      </c>
      <c r="C15" t="s">
        <v>626</v>
      </c>
    </row>
  </sheetData>
  <pageMargins left="0.7" right="0.7" top="0.75" bottom="0.75" header="0.3" footer="0.3"/>
  <tableParts count="1">
    <tablePart r:id="rId1"/>
  </tablePart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BB8484-6E03-46FE-93A9-DE9ABB3954E4}">
  <dimension ref="A1:Q14"/>
  <sheetViews>
    <sheetView workbookViewId="0">
      <selection activeCell="E2" sqref="E2:Q2"/>
    </sheetView>
  </sheetViews>
  <sheetFormatPr defaultRowHeight="15" x14ac:dyDescent="0.25"/>
  <cols>
    <col min="1" max="1" width="21.140625" bestFit="1" customWidth="1"/>
    <col min="3" max="3" width="145.28515625" bestFit="1" customWidth="1"/>
  </cols>
  <sheetData>
    <row r="1" spans="1:17" x14ac:dyDescent="0.25">
      <c r="A1" s="32" t="s">
        <v>593</v>
      </c>
      <c r="B1" s="32" t="s">
        <v>594</v>
      </c>
      <c r="C1" s="32" t="s">
        <v>595</v>
      </c>
    </row>
    <row r="2" spans="1:17" x14ac:dyDescent="0.25">
      <c r="A2" t="s">
        <v>48</v>
      </c>
      <c r="B2" t="s">
        <v>141</v>
      </c>
      <c r="C2" t="s">
        <v>627</v>
      </c>
      <c r="E2" s="33" t="s">
        <v>141</v>
      </c>
      <c r="F2" s="34" t="s">
        <v>140</v>
      </c>
      <c r="G2" s="33" t="s">
        <v>153</v>
      </c>
      <c r="H2" s="34" t="s">
        <v>138</v>
      </c>
      <c r="I2" s="33" t="s">
        <v>141</v>
      </c>
      <c r="J2" s="34" t="s">
        <v>150</v>
      </c>
      <c r="K2" s="33" t="s">
        <v>153</v>
      </c>
      <c r="L2" s="34" t="s">
        <v>138</v>
      </c>
      <c r="M2" s="33" t="s">
        <v>153</v>
      </c>
      <c r="N2" s="34" t="s">
        <v>141</v>
      </c>
      <c r="O2" s="33" t="s">
        <v>608</v>
      </c>
      <c r="P2" s="34" t="s">
        <v>608</v>
      </c>
      <c r="Q2" s="35" t="s">
        <v>611</v>
      </c>
    </row>
    <row r="3" spans="1:17" x14ac:dyDescent="0.25">
      <c r="A3" t="s">
        <v>49</v>
      </c>
      <c r="B3" t="s">
        <v>140</v>
      </c>
      <c r="C3" t="s">
        <v>628</v>
      </c>
    </row>
    <row r="4" spans="1:17" x14ac:dyDescent="0.25">
      <c r="A4" t="s">
        <v>50</v>
      </c>
      <c r="B4" t="s">
        <v>153</v>
      </c>
      <c r="C4" t="s">
        <v>629</v>
      </c>
    </row>
    <row r="5" spans="1:17" x14ac:dyDescent="0.25">
      <c r="A5" t="s">
        <v>51</v>
      </c>
      <c r="B5" t="s">
        <v>138</v>
      </c>
      <c r="C5" t="s">
        <v>630</v>
      </c>
    </row>
    <row r="6" spans="1:17" x14ac:dyDescent="0.25">
      <c r="A6" t="s">
        <v>52</v>
      </c>
      <c r="B6" t="s">
        <v>141</v>
      </c>
      <c r="C6" t="s">
        <v>631</v>
      </c>
    </row>
    <row r="7" spans="1:17" x14ac:dyDescent="0.25">
      <c r="A7" t="s">
        <v>53</v>
      </c>
      <c r="B7" t="s">
        <v>150</v>
      </c>
      <c r="C7" t="s">
        <v>632</v>
      </c>
    </row>
    <row r="8" spans="1:17" x14ac:dyDescent="0.25">
      <c r="A8" t="s">
        <v>54</v>
      </c>
      <c r="B8" t="s">
        <v>153</v>
      </c>
      <c r="C8" t="s">
        <v>633</v>
      </c>
    </row>
    <row r="9" spans="1:17" x14ac:dyDescent="0.25">
      <c r="A9" t="s">
        <v>3</v>
      </c>
      <c r="B9" t="s">
        <v>138</v>
      </c>
      <c r="C9" t="s">
        <v>634</v>
      </c>
    </row>
    <row r="10" spans="1:17" x14ac:dyDescent="0.25">
      <c r="A10" t="s">
        <v>55</v>
      </c>
      <c r="B10" t="s">
        <v>153</v>
      </c>
      <c r="C10" t="s">
        <v>635</v>
      </c>
    </row>
    <row r="11" spans="1:17" x14ac:dyDescent="0.25">
      <c r="A11" t="s">
        <v>56</v>
      </c>
      <c r="B11" t="s">
        <v>141</v>
      </c>
      <c r="C11" t="s">
        <v>636</v>
      </c>
    </row>
    <row r="12" spans="1:17" x14ac:dyDescent="0.25">
      <c r="A12" t="s">
        <v>57</v>
      </c>
      <c r="B12" t="s">
        <v>608</v>
      </c>
      <c r="C12" t="s">
        <v>637</v>
      </c>
    </row>
    <row r="13" spans="1:17" x14ac:dyDescent="0.25">
      <c r="A13" t="s">
        <v>58</v>
      </c>
      <c r="B13" t="s">
        <v>608</v>
      </c>
      <c r="C13" t="s">
        <v>638</v>
      </c>
    </row>
    <row r="14" spans="1:17" x14ac:dyDescent="0.25">
      <c r="A14" t="s">
        <v>59</v>
      </c>
      <c r="B14" t="s">
        <v>611</v>
      </c>
      <c r="C14" t="s">
        <v>639</v>
      </c>
    </row>
  </sheetData>
  <pageMargins left="0.7" right="0.7" top="0.75" bottom="0.75" header="0.3" footer="0.3"/>
  <tableParts count="1">
    <tablePart r:id="rId1"/>
  </tableParts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E2BC80-B87E-4004-9E1D-2AB34D9FD40E}">
  <dimension ref="A1:G4"/>
  <sheetViews>
    <sheetView workbookViewId="0">
      <selection activeCell="E2" sqref="E2:G2"/>
    </sheetView>
  </sheetViews>
  <sheetFormatPr defaultRowHeight="15" x14ac:dyDescent="0.25"/>
  <cols>
    <col min="1" max="1" width="21.140625" bestFit="1" customWidth="1"/>
    <col min="2" max="2" width="13.28515625" bestFit="1" customWidth="1"/>
    <col min="3" max="3" width="172.5703125" bestFit="1" customWidth="1"/>
  </cols>
  <sheetData>
    <row r="1" spans="1:7" x14ac:dyDescent="0.25">
      <c r="A1" s="32" t="s">
        <v>593</v>
      </c>
      <c r="B1" s="32" t="s">
        <v>594</v>
      </c>
      <c r="C1" s="32" t="s">
        <v>595</v>
      </c>
    </row>
    <row r="2" spans="1:7" x14ac:dyDescent="0.25">
      <c r="A2" t="s">
        <v>57</v>
      </c>
      <c r="B2" t="s">
        <v>138</v>
      </c>
      <c r="C2" t="s">
        <v>714</v>
      </c>
      <c r="E2" s="33" t="s">
        <v>138</v>
      </c>
      <c r="F2" s="34" t="s">
        <v>153</v>
      </c>
      <c r="G2" s="35" t="s">
        <v>608</v>
      </c>
    </row>
    <row r="3" spans="1:7" x14ac:dyDescent="0.25">
      <c r="A3" t="s">
        <v>58</v>
      </c>
      <c r="B3" t="s">
        <v>153</v>
      </c>
      <c r="C3" t="s">
        <v>715</v>
      </c>
    </row>
    <row r="4" spans="1:7" x14ac:dyDescent="0.25">
      <c r="A4" t="s">
        <v>59</v>
      </c>
      <c r="B4" t="s">
        <v>608</v>
      </c>
      <c r="C4" t="s">
        <v>716</v>
      </c>
    </row>
  </sheetData>
  <pageMargins left="0.7" right="0.7" top="0.75" bottom="0.75" header="0.3" footer="0.3"/>
  <tableParts count="1">
    <tablePart r:id="rId1"/>
  </tableParts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26403C-5BE1-4E17-9D1B-7D6FAFED06E3}">
  <dimension ref="A1:B17"/>
  <sheetViews>
    <sheetView workbookViewId="0">
      <selection activeCell="I25" sqref="I25"/>
    </sheetView>
  </sheetViews>
  <sheetFormatPr defaultRowHeight="15" x14ac:dyDescent="0.25"/>
  <cols>
    <col min="1" max="1" width="13.28515625" bestFit="1" customWidth="1"/>
    <col min="2" max="2" width="32.42578125" customWidth="1"/>
  </cols>
  <sheetData>
    <row r="1" spans="1:2" x14ac:dyDescent="0.25">
      <c r="A1" s="38" t="s">
        <v>720</v>
      </c>
      <c r="B1" s="38" t="s">
        <v>721</v>
      </c>
    </row>
    <row r="2" spans="1:2" x14ac:dyDescent="0.25">
      <c r="A2" s="37" t="str">
        <f>'C2 Interface Weights'!E26</f>
        <v>Political</v>
      </c>
      <c r="B2" s="43">
        <f>'C2 Interface Weights'!F26</f>
        <v>0.25070841955743889</v>
      </c>
    </row>
    <row r="3" spans="1:2" x14ac:dyDescent="0.25">
      <c r="A3" s="37" t="str">
        <f>'C2 Interface Weights'!E25</f>
        <v>Legal</v>
      </c>
      <c r="B3" s="43">
        <f>'C2 Interface Weights'!F25</f>
        <v>0.15074309467230748</v>
      </c>
    </row>
    <row r="4" spans="1:2" x14ac:dyDescent="0.25">
      <c r="A4" s="37" t="str">
        <f>'C2 Interface Weights'!E24</f>
        <v>Financial</v>
      </c>
      <c r="B4" s="43">
        <f>'C2 Interface Weights'!F24</f>
        <v>0.12592554463094463</v>
      </c>
    </row>
    <row r="5" spans="1:2" x14ac:dyDescent="0.25">
      <c r="A5" s="37" t="str">
        <f>'C2 Interface Weights'!E22</f>
        <v>Contractual</v>
      </c>
      <c r="B5" s="43">
        <f>'C2 Interface Weights'!F22</f>
        <v>8.2522240305975159E-2</v>
      </c>
    </row>
    <row r="6" spans="1:2" x14ac:dyDescent="0.25">
      <c r="A6" s="37" t="str">
        <f>'C2 Interface Weights'!E16</f>
        <v>Development</v>
      </c>
      <c r="B6" s="43">
        <f>'C2 Interface Weights'!F16</f>
        <v>7.2329608703918843E-2</v>
      </c>
    </row>
    <row r="7" spans="1:2" x14ac:dyDescent="0.25">
      <c r="A7" s="37" t="str">
        <f>'C2 Interface Weights'!E20</f>
        <v>Coordination</v>
      </c>
      <c r="B7" s="43">
        <f>'C2 Interface Weights'!F20</f>
        <v>5.9569888005899144E-2</v>
      </c>
    </row>
    <row r="8" spans="1:2" x14ac:dyDescent="0.25">
      <c r="A8" s="37" t="str">
        <f>'C2 Interface Weights'!E17</f>
        <v>Operation</v>
      </c>
      <c r="B8" s="43">
        <f>'C2 Interface Weights'!F17</f>
        <v>3.9499062451645146E-2</v>
      </c>
    </row>
    <row r="9" spans="1:2" x14ac:dyDescent="0.25">
      <c r="A9" s="37" t="str">
        <f>'C2 Interface Weights'!E23</f>
        <v>Deliverable</v>
      </c>
      <c r="B9" s="43">
        <f>'C2 Interface Weights'!F23</f>
        <v>3.6576735744395142E-2</v>
      </c>
    </row>
    <row r="10" spans="1:2" x14ac:dyDescent="0.25">
      <c r="A10" s="37" t="str">
        <f>'C2 Interface Weights'!E18</f>
        <v>Service</v>
      </c>
      <c r="B10" s="43">
        <f>'C2 Interface Weights'!F18</f>
        <v>3.2182245701776219E-2</v>
      </c>
    </row>
    <row r="11" spans="1:2" x14ac:dyDescent="0.25">
      <c r="A11" s="37" t="str">
        <f>'C2 Interface Weights'!E12</f>
        <v>Information</v>
      </c>
      <c r="B11" s="43">
        <f>'C2 Interface Weights'!F12</f>
        <v>2.8774564808292824E-2</v>
      </c>
    </row>
    <row r="12" spans="1:2" x14ac:dyDescent="0.25">
      <c r="A12" s="37" t="str">
        <f>'C2 Interface Weights'!E15</f>
        <v>Contribution</v>
      </c>
      <c r="B12" s="43">
        <f>'C2 Interface Weights'!F15</f>
        <v>2.7463825146308622E-2</v>
      </c>
    </row>
    <row r="13" spans="1:2" x14ac:dyDescent="0.25">
      <c r="A13" s="37" t="str">
        <f>'C2 Interface Weights'!E19</f>
        <v>Prerequisite</v>
      </c>
      <c r="B13" s="43">
        <f>'C2 Interface Weights'!F19</f>
        <v>2.5862154000813469E-2</v>
      </c>
    </row>
    <row r="14" spans="1:2" x14ac:dyDescent="0.25">
      <c r="A14" s="37" t="str">
        <f>'C2 Interface Weights'!E21</f>
        <v>Definition</v>
      </c>
      <c r="B14" s="43">
        <f>'C2 Interface Weights'!F21</f>
        <v>2.3287782433516049E-2</v>
      </c>
    </row>
    <row r="15" spans="1:2" x14ac:dyDescent="0.25">
      <c r="A15" s="37" t="str">
        <f>'C2 Interface Weights'!E14</f>
        <v>Energy</v>
      </c>
      <c r="B15" s="43">
        <f>'C2 Interface Weights'!F14</f>
        <v>1.6800701293679311E-2</v>
      </c>
    </row>
    <row r="16" spans="1:2" x14ac:dyDescent="0.25">
      <c r="A16" s="37" t="str">
        <f>'C2 Interface Weights'!E13</f>
        <v>Physical</v>
      </c>
      <c r="B16" s="43">
        <f>'C2 Interface Weights'!F13</f>
        <v>1.3877066271544534E-2</v>
      </c>
    </row>
    <row r="17" spans="1:2" x14ac:dyDescent="0.25">
      <c r="A17" s="37" t="str">
        <f>'C2 Interface Weights'!E11</f>
        <v>Mass</v>
      </c>
      <c r="B17" s="43">
        <f>'C2 Interface Weights'!F11</f>
        <v>1.3877066271544534E-2</v>
      </c>
    </row>
  </sheetData>
  <autoFilter ref="A1:B1" xr:uid="{C526403C-5BE1-4E17-9D1B-7D6FAFED06E3}">
    <sortState xmlns:xlrd2="http://schemas.microsoft.com/office/spreadsheetml/2017/richdata2" ref="A2:B17">
      <sortCondition descending="1" ref="B1"/>
    </sortState>
  </autoFilter>
  <conditionalFormatting sqref="B2:B17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8342B6-FDBE-4BF4-92C6-E1B0DA04876A}">
  <dimension ref="B1:BT42"/>
  <sheetViews>
    <sheetView topLeftCell="C1" zoomScale="40" zoomScaleNormal="85" workbookViewId="0">
      <selection activeCell="C16" sqref="C16"/>
    </sheetView>
  </sheetViews>
  <sheetFormatPr defaultRowHeight="15" x14ac:dyDescent="0.25"/>
  <cols>
    <col min="2" max="2" width="12.140625" bestFit="1" customWidth="1"/>
    <col min="3" max="3" width="28.5703125" bestFit="1" customWidth="1"/>
    <col min="5" max="5" width="43.85546875" customWidth="1"/>
    <col min="6" max="6" width="26" customWidth="1"/>
    <col min="7" max="37" width="4.5703125" customWidth="1"/>
    <col min="39" max="39" width="47.5703125" bestFit="1" customWidth="1"/>
  </cols>
  <sheetData>
    <row r="1" spans="2:72" ht="15.75" thickBot="1" x14ac:dyDescent="0.3"/>
    <row r="2" spans="2:72" ht="15.75" thickBot="1" x14ac:dyDescent="0.3">
      <c r="B2" s="61" t="s">
        <v>0</v>
      </c>
      <c r="C2" s="62"/>
      <c r="E2" s="16" t="s">
        <v>1</v>
      </c>
    </row>
    <row r="3" spans="2:72" ht="15.75" thickBot="1" x14ac:dyDescent="0.3">
      <c r="B3" s="8" t="s">
        <v>2</v>
      </c>
      <c r="C3" s="8" t="s">
        <v>3</v>
      </c>
      <c r="E3" s="6" t="s">
        <v>4</v>
      </c>
    </row>
    <row r="4" spans="2:72" ht="15" customHeight="1" x14ac:dyDescent="0.25">
      <c r="B4" s="10">
        <v>1</v>
      </c>
      <c r="C4" s="11" t="s">
        <v>5</v>
      </c>
      <c r="E4" s="63" t="s">
        <v>6</v>
      </c>
    </row>
    <row r="5" spans="2:72" x14ac:dyDescent="0.25">
      <c r="B5" s="12">
        <v>3</v>
      </c>
      <c r="C5" s="13" t="s">
        <v>7</v>
      </c>
      <c r="E5" s="64"/>
    </row>
    <row r="6" spans="2:72" x14ac:dyDescent="0.25">
      <c r="B6" s="12">
        <v>5</v>
      </c>
      <c r="C6" s="13" t="s">
        <v>8</v>
      </c>
      <c r="E6" s="65" t="s">
        <v>9</v>
      </c>
    </row>
    <row r="7" spans="2:72" x14ac:dyDescent="0.25">
      <c r="B7" s="12">
        <v>7</v>
      </c>
      <c r="C7" s="13" t="s">
        <v>10</v>
      </c>
      <c r="E7" s="65"/>
    </row>
    <row r="8" spans="2:72" x14ac:dyDescent="0.25">
      <c r="B8" s="12">
        <v>9</v>
      </c>
      <c r="C8" s="13" t="s">
        <v>11</v>
      </c>
    </row>
    <row r="10" spans="2:72" ht="196.9" customHeight="1" x14ac:dyDescent="0.25">
      <c r="E10" s="1" t="s">
        <v>43</v>
      </c>
      <c r="F10" s="2" t="s">
        <v>44</v>
      </c>
      <c r="G10" s="3" t="str">
        <f>E11</f>
        <v>Deploy Air Assets</v>
      </c>
      <c r="H10" s="3" t="str">
        <f>E12</f>
        <v>Lead Tankers</v>
      </c>
      <c r="I10" s="3" t="str">
        <f>E13</f>
        <v>Supervise Air Attacks (AAGs)</v>
      </c>
      <c r="J10" s="3" t="str">
        <f>E14</f>
        <v>Drop Water</v>
      </c>
      <c r="K10" s="3" t="str">
        <f>E15</f>
        <v>Drop Fire Retardant</v>
      </c>
      <c r="L10" s="3" t="str">
        <f>E16</f>
        <v>Perform Post-Drop Assessment</v>
      </c>
      <c r="M10" s="3" t="str">
        <f>E17</f>
        <v>Dispatch To Reloading Base</v>
      </c>
      <c r="N10" s="3" t="str">
        <f>E18</f>
        <v>Deploy Ground Assets</v>
      </c>
      <c r="O10" s="3" t="str">
        <f>E19</f>
        <v>Establish Containment Lines</v>
      </c>
      <c r="P10" s="3" t="str">
        <f>E20</f>
        <v>Spill Water from Ground Assets</v>
      </c>
      <c r="Q10" s="3" t="str">
        <f>E21</f>
        <v>Tactically Monitor Fires</v>
      </c>
      <c r="R10" s="3" t="str">
        <f>E22</f>
        <v>Predict New Fires</v>
      </c>
      <c r="S10" s="3" t="str">
        <f>E23</f>
        <v>Detect Fires</v>
      </c>
      <c r="T10" s="3" t="str">
        <f>E24</f>
        <v>Visually Confirm Fires</v>
      </c>
      <c r="U10" s="3" t="str">
        <f>E25</f>
        <v>Predict Fire Paths/Behavior</v>
      </c>
      <c r="V10" s="3" t="str">
        <f>E26</f>
        <v>Strategically Monitor Fires</v>
      </c>
      <c r="W10" s="3" t="str">
        <f>E27</f>
        <v>Gather Real Time Data from Assets</v>
      </c>
      <c r="X10" s="3" t="str">
        <f>E28</f>
        <v>Build Real Time Situational Awareness</v>
      </c>
      <c r="Y10" s="3" t="str">
        <f>E29</f>
        <v>Coordinate Air &amp; Ground Resources</v>
      </c>
      <c r="Z10" s="3" t="str">
        <f>E30</f>
        <v>Dynamically Allocate Resources</v>
      </c>
      <c r="AA10" s="3" t="str">
        <f>E31</f>
        <v>Issue Commands to Assets</v>
      </c>
      <c r="AB10" s="3" t="str">
        <f>E32</f>
        <v>Communicate to Resources</v>
      </c>
      <c r="AC10" s="3" t="str">
        <f>E33</f>
        <v>Maintain Communication Among Assets</v>
      </c>
      <c r="AD10" s="3" t="str">
        <f>E34</f>
        <v>Maintain Communication Between Assets and C3</v>
      </c>
      <c r="AE10" s="3" t="str">
        <f>E35</f>
        <v>Deploy First Response Ground Assets</v>
      </c>
      <c r="AF10" s="3" t="str">
        <f>E36</f>
        <v>Deploy Smokejumpers</v>
      </c>
      <c r="AG10" s="3" t="str">
        <f>E37</f>
        <v>Activate MAFFS</v>
      </c>
      <c r="AH10" s="3" t="str">
        <f>E38</f>
        <v>Refuel Airborne Assets</v>
      </c>
      <c r="AI10" s="3" t="str">
        <f>E39</f>
        <v>Provide MRO for Assets</v>
      </c>
      <c r="AJ10" s="3" t="str">
        <f>E40</f>
        <v>Refill Water and Fire Retardants</v>
      </c>
      <c r="AK10" s="3" t="str">
        <f>E41</f>
        <v>Provide Logistic Support to Crews</v>
      </c>
      <c r="AM10" s="6" t="s">
        <v>68</v>
      </c>
      <c r="AN10" s="6" t="s">
        <v>587</v>
      </c>
    </row>
    <row r="11" spans="2:72" x14ac:dyDescent="0.25">
      <c r="E11" s="14" t="s">
        <v>12</v>
      </c>
      <c r="F11" s="15">
        <f>AVERAGE(AP11:BT11)</f>
        <v>3.5885210576976023E-2</v>
      </c>
      <c r="G11" s="4">
        <v>1</v>
      </c>
      <c r="H11" s="5">
        <v>2</v>
      </c>
      <c r="I11" s="5">
        <v>2</v>
      </c>
      <c r="J11" s="5">
        <v>2</v>
      </c>
      <c r="K11" s="6">
        <v>2</v>
      </c>
      <c r="L11" s="6">
        <f>1/5</f>
        <v>0.2</v>
      </c>
      <c r="M11" s="6">
        <v>2</v>
      </c>
      <c r="N11" s="6">
        <v>1</v>
      </c>
      <c r="O11" s="6">
        <v>1</v>
      </c>
      <c r="P11" s="6">
        <f>1/3</f>
        <v>0.33333333333333331</v>
      </c>
      <c r="Q11" s="6">
        <v>1</v>
      </c>
      <c r="R11" s="6">
        <f>1/2</f>
        <v>0.5</v>
      </c>
      <c r="S11" s="6">
        <f>1/2</f>
        <v>0.5</v>
      </c>
      <c r="T11" s="6">
        <v>2</v>
      </c>
      <c r="U11" s="6">
        <f>0.5</f>
        <v>0.5</v>
      </c>
      <c r="V11" s="6">
        <v>1</v>
      </c>
      <c r="W11" s="6">
        <v>1</v>
      </c>
      <c r="X11" s="6">
        <v>1</v>
      </c>
      <c r="Y11" s="6">
        <v>1</v>
      </c>
      <c r="Z11" s="6">
        <v>1</v>
      </c>
      <c r="AA11" s="6">
        <f>1/2</f>
        <v>0.5</v>
      </c>
      <c r="AB11" s="6">
        <f>1/2</f>
        <v>0.5</v>
      </c>
      <c r="AC11" s="6">
        <f>1/2</f>
        <v>0.5</v>
      </c>
      <c r="AD11" s="6">
        <f>1/3</f>
        <v>0.33333333333333331</v>
      </c>
      <c r="AE11" s="6">
        <v>1</v>
      </c>
      <c r="AF11" s="6">
        <v>2</v>
      </c>
      <c r="AG11" s="6">
        <v>3</v>
      </c>
      <c r="AH11" s="6">
        <v>2</v>
      </c>
      <c r="AI11" s="6">
        <v>3</v>
      </c>
      <c r="AJ11" s="6">
        <v>3</v>
      </c>
      <c r="AK11" s="6">
        <v>5</v>
      </c>
      <c r="AM11" s="14" t="str">
        <f t="shared" ref="AM11:AM41" si="0">E11</f>
        <v>Deploy Air Assets</v>
      </c>
      <c r="AN11" s="6">
        <f t="shared" ref="AN11:AN41" si="1">F11</f>
        <v>3.5885210576976023E-2</v>
      </c>
      <c r="AP11" s="7">
        <f t="shared" ref="AP11:BT11" si="2">G11/SUM(G$11:G$41)</f>
        <v>2.6178010471204181E-2</v>
      </c>
      <c r="AQ11" s="7">
        <f t="shared" si="2"/>
        <v>4.7999999999999994E-2</v>
      </c>
      <c r="AR11" s="7">
        <f t="shared" si="2"/>
        <v>5.4054054054054057E-2</v>
      </c>
      <c r="AS11" s="7">
        <f t="shared" si="2"/>
        <v>6.3424947145877389E-2</v>
      </c>
      <c r="AT11" s="7">
        <f t="shared" si="2"/>
        <v>6.3424947145877389E-2</v>
      </c>
      <c r="AU11" s="7">
        <f t="shared" si="2"/>
        <v>3.9840637450199202E-3</v>
      </c>
      <c r="AV11" s="7">
        <f t="shared" si="2"/>
        <v>4.2105263157894736E-2</v>
      </c>
      <c r="AW11" s="7">
        <f t="shared" si="2"/>
        <v>3.8461538461538464E-2</v>
      </c>
      <c r="AX11" s="7">
        <f t="shared" si="2"/>
        <v>3.3707865168539332E-2</v>
      </c>
      <c r="AY11" s="7">
        <f t="shared" si="2"/>
        <v>1.015228426395939E-2</v>
      </c>
      <c r="AZ11" s="7">
        <f t="shared" si="2"/>
        <v>3.5294117647058823E-2</v>
      </c>
      <c r="BA11" s="7">
        <f t="shared" si="2"/>
        <v>1.2195121951219513E-2</v>
      </c>
      <c r="BB11" s="7">
        <f t="shared" si="2"/>
        <v>1.993355481727575E-2</v>
      </c>
      <c r="BC11" s="7">
        <f t="shared" si="2"/>
        <v>7.4999999999999997E-2</v>
      </c>
      <c r="BD11" s="7">
        <f t="shared" si="2"/>
        <v>1.6393442622950821E-2</v>
      </c>
      <c r="BE11" s="7">
        <f t="shared" si="2"/>
        <v>2.0833333333333332E-2</v>
      </c>
      <c r="BF11" s="7">
        <f t="shared" si="2"/>
        <v>2.9850746268656716E-2</v>
      </c>
      <c r="BG11" s="7">
        <f t="shared" si="2"/>
        <v>4.2134831460674156E-2</v>
      </c>
      <c r="BH11" s="7">
        <f t="shared" si="2"/>
        <v>0.03</v>
      </c>
      <c r="BI11" s="7">
        <f t="shared" si="2"/>
        <v>2.2388059701492536E-2</v>
      </c>
      <c r="BJ11" s="7">
        <f t="shared" si="2"/>
        <v>1.3605442176870748E-2</v>
      </c>
      <c r="BK11" s="7">
        <f t="shared" si="2"/>
        <v>1.5995125295148148E-2</v>
      </c>
      <c r="BL11" s="7">
        <f t="shared" si="2"/>
        <v>1.5544041450777204E-2</v>
      </c>
      <c r="BM11" s="7">
        <f t="shared" si="2"/>
        <v>8.2304526748971183E-3</v>
      </c>
      <c r="BN11" s="7">
        <f t="shared" si="2"/>
        <v>3.0612244897959186E-2</v>
      </c>
      <c r="BO11" s="7">
        <f t="shared" si="2"/>
        <v>4.8387096774193547E-2</v>
      </c>
      <c r="BP11" s="7">
        <f t="shared" si="2"/>
        <v>7.1090047393364927E-2</v>
      </c>
      <c r="BQ11" s="7">
        <f t="shared" si="2"/>
        <v>3.5587188612099641E-2</v>
      </c>
      <c r="BR11" s="7">
        <f t="shared" si="2"/>
        <v>4.5743329097839902E-2</v>
      </c>
      <c r="BS11" s="7">
        <f t="shared" si="2"/>
        <v>5.5384615384615386E-2</v>
      </c>
      <c r="BT11" s="7">
        <f t="shared" si="2"/>
        <v>8.4745762711864403E-2</v>
      </c>
    </row>
    <row r="12" spans="2:72" x14ac:dyDescent="0.25">
      <c r="E12" s="14" t="s">
        <v>13</v>
      </c>
      <c r="F12" s="15">
        <f>AVERAGE(AP12:BT12)</f>
        <v>3.4871282193626833E-2</v>
      </c>
      <c r="G12" s="9" cm="1">
        <f t="array" ref="G12">1/INDEX($H$11:$AK$11, 1, ROW(A1))</f>
        <v>0.5</v>
      </c>
      <c r="H12" s="4">
        <v>1</v>
      </c>
      <c r="I12" s="5">
        <v>3</v>
      </c>
      <c r="J12" s="5">
        <v>4</v>
      </c>
      <c r="K12" s="6">
        <v>4</v>
      </c>
      <c r="L12" s="6">
        <v>3</v>
      </c>
      <c r="M12" s="6">
        <v>3</v>
      </c>
      <c r="N12" s="6">
        <f>1*1/2</f>
        <v>0.5</v>
      </c>
      <c r="O12" s="6">
        <f>1*1/2</f>
        <v>0.5</v>
      </c>
      <c r="P12" s="6">
        <v>3</v>
      </c>
      <c r="Q12" s="6">
        <v>1</v>
      </c>
      <c r="R12" s="6">
        <f>0.5</f>
        <v>0.5</v>
      </c>
      <c r="S12" s="6">
        <f>1/2</f>
        <v>0.5</v>
      </c>
      <c r="T12" s="6">
        <f>1/3</f>
        <v>0.33333333333333331</v>
      </c>
      <c r="U12" s="6">
        <f>1/2</f>
        <v>0.5</v>
      </c>
      <c r="V12" s="6">
        <f>1/2</f>
        <v>0.5</v>
      </c>
      <c r="W12" s="6">
        <f>0.5</f>
        <v>0.5</v>
      </c>
      <c r="X12" s="6">
        <f>0.5</f>
        <v>0.5</v>
      </c>
      <c r="Y12" s="6">
        <f t="shared" ref="Y12:AD12" si="3">1*1/2</f>
        <v>0.5</v>
      </c>
      <c r="Z12" s="6">
        <f t="shared" si="3"/>
        <v>0.5</v>
      </c>
      <c r="AA12" s="6">
        <f t="shared" si="3"/>
        <v>0.5</v>
      </c>
      <c r="AB12" s="6">
        <f t="shared" si="3"/>
        <v>0.5</v>
      </c>
      <c r="AC12" s="6">
        <f t="shared" si="3"/>
        <v>0.5</v>
      </c>
      <c r="AD12" s="6">
        <f t="shared" si="3"/>
        <v>0.5</v>
      </c>
      <c r="AE12" s="6">
        <v>1</v>
      </c>
      <c r="AF12" s="6">
        <v>1</v>
      </c>
      <c r="AG12" s="6">
        <v>1</v>
      </c>
      <c r="AH12" s="6">
        <v>2</v>
      </c>
      <c r="AI12" s="6">
        <v>2</v>
      </c>
      <c r="AJ12" s="6">
        <v>2</v>
      </c>
      <c r="AK12" s="6">
        <v>3</v>
      </c>
      <c r="AM12" s="14" t="str">
        <f t="shared" si="0"/>
        <v>Lead Tankers</v>
      </c>
      <c r="AN12" s="6">
        <f t="shared" si="1"/>
        <v>3.4871282193626833E-2</v>
      </c>
      <c r="AP12" s="7">
        <f t="shared" ref="AP12:AP21" si="4">G12/SUM(G$11:G$41)</f>
        <v>1.3089005235602091E-2</v>
      </c>
      <c r="AQ12" s="7">
        <f t="shared" ref="AQ12:AQ21" si="5">H12/SUM(H$11:H$41)</f>
        <v>2.3999999999999997E-2</v>
      </c>
      <c r="AR12" s="7">
        <f t="shared" ref="AR12:AR21" si="6">I12/SUM(I$11:I$41)</f>
        <v>8.1081081081081086E-2</v>
      </c>
      <c r="AS12" s="7">
        <f t="shared" ref="AS12:AS21" si="7">J12/SUM(J$11:J$41)</f>
        <v>0.12684989429175478</v>
      </c>
      <c r="AT12" s="7">
        <f t="shared" ref="AT12:AT21" si="8">K12/SUM(K$11:K$41)</f>
        <v>0.12684989429175478</v>
      </c>
      <c r="AU12" s="7">
        <f t="shared" ref="AU12:AU21" si="9">L12/SUM(L$11:L$41)</f>
        <v>5.97609561752988E-2</v>
      </c>
      <c r="AV12" s="7">
        <f t="shared" ref="AV12:AV21" si="10">M12/SUM(M$11:M$41)</f>
        <v>6.3157894736842107E-2</v>
      </c>
      <c r="AW12" s="7">
        <f t="shared" ref="AW12:AW21" si="11">N12/SUM(N$11:N$41)</f>
        <v>1.9230769230769232E-2</v>
      </c>
      <c r="AX12" s="7">
        <f t="shared" ref="AX12:AX21" si="12">O12/SUM(O$11:O$41)</f>
        <v>1.6853932584269666E-2</v>
      </c>
      <c r="AY12" s="7">
        <f t="shared" ref="AY12:AY21" si="13">P12/SUM(P$11:P$41)</f>
        <v>9.1370558375634514E-2</v>
      </c>
      <c r="AZ12" s="7">
        <f t="shared" ref="AZ12:AZ21" si="14">Q12/SUM(Q$11:Q$41)</f>
        <v>3.5294117647058823E-2</v>
      </c>
      <c r="BA12" s="7">
        <f t="shared" ref="BA12:BA21" si="15">R12/SUM(R$11:R$41)</f>
        <v>1.2195121951219513E-2</v>
      </c>
      <c r="BB12" s="7">
        <f t="shared" ref="BB12:BB21" si="16">S12/SUM(S$11:S$41)</f>
        <v>1.993355481727575E-2</v>
      </c>
      <c r="BC12" s="7">
        <f t="shared" ref="BC12:BC21" si="17">T12/SUM(T$11:T$41)</f>
        <v>1.2499999999999999E-2</v>
      </c>
      <c r="BD12" s="7">
        <f t="shared" ref="BD12:BD21" si="18">U12/SUM(U$11:U$41)</f>
        <v>1.6393442622950821E-2</v>
      </c>
      <c r="BE12" s="7">
        <f t="shared" ref="BE12:BE21" si="19">V12/SUM(V$11:V$41)</f>
        <v>1.0416666666666666E-2</v>
      </c>
      <c r="BF12" s="7">
        <f t="shared" ref="BF12:BF21" si="20">W12/SUM(W$11:W$41)</f>
        <v>1.4925373134328358E-2</v>
      </c>
      <c r="BG12" s="7">
        <f t="shared" ref="BG12:BG21" si="21">X12/SUM(X$11:X$41)</f>
        <v>2.1067415730337078E-2</v>
      </c>
      <c r="BH12" s="7">
        <f t="shared" ref="BH12:BH21" si="22">Y12/SUM(Y$11:Y$41)</f>
        <v>1.4999999999999999E-2</v>
      </c>
      <c r="BI12" s="7">
        <f t="shared" ref="BI12:BI21" si="23">Z12/SUM(Z$11:Z$41)</f>
        <v>1.1194029850746268E-2</v>
      </c>
      <c r="BJ12" s="7">
        <f t="shared" ref="BJ12:BJ21" si="24">AA12/SUM(AA$11:AA$41)</f>
        <v>1.3605442176870748E-2</v>
      </c>
      <c r="BK12" s="7">
        <f t="shared" ref="BK12:BK21" si="25">AB12/SUM(AB$11:AB$41)</f>
        <v>1.5995125295148148E-2</v>
      </c>
      <c r="BL12" s="7">
        <f t="shared" ref="BL12:BL21" si="26">AC12/SUM(AC$11:AC$41)</f>
        <v>1.5544041450777204E-2</v>
      </c>
      <c r="BM12" s="7">
        <f t="shared" ref="BM12:BM21" si="27">AD12/SUM(AD$11:AD$41)</f>
        <v>1.2345679012345678E-2</v>
      </c>
      <c r="BN12" s="7">
        <f t="shared" ref="BN12:BN21" si="28">AE12/SUM(AE$11:AE$41)</f>
        <v>3.0612244897959186E-2</v>
      </c>
      <c r="BO12" s="7">
        <f t="shared" ref="BO12:BO21" si="29">AF12/SUM(AF$11:AF$41)</f>
        <v>2.4193548387096774E-2</v>
      </c>
      <c r="BP12" s="7">
        <f t="shared" ref="BP12:BP21" si="30">AG12/SUM(AG$11:AG$41)</f>
        <v>2.3696682464454975E-2</v>
      </c>
      <c r="BQ12" s="7">
        <f t="shared" ref="BQ12:BQ21" si="31">AH12/SUM(AH$11:AH$41)</f>
        <v>3.5587188612099641E-2</v>
      </c>
      <c r="BR12" s="7">
        <f t="shared" ref="BR12:BR21" si="32">AI12/SUM(AI$11:AI$41)</f>
        <v>3.0495552731893267E-2</v>
      </c>
      <c r="BS12" s="7">
        <f t="shared" ref="BS12:BS21" si="33">AJ12/SUM(AJ$11:AJ$41)</f>
        <v>3.6923076923076927E-2</v>
      </c>
      <c r="BT12" s="7">
        <f t="shared" ref="BT12:BT21" si="34">AK12/SUM(AK$11:AK$41)</f>
        <v>5.0847457627118647E-2</v>
      </c>
    </row>
    <row r="13" spans="2:72" x14ac:dyDescent="0.25">
      <c r="E13" s="14" t="s">
        <v>14</v>
      </c>
      <c r="F13" s="15">
        <f t="shared" ref="F13:F41" si="35">AVERAGE(AP13:BT13)</f>
        <v>2.7309127245120839E-2</v>
      </c>
      <c r="G13" s="9" cm="1">
        <f t="array" ref="G13">1/INDEX($H$11:$AK$11, 1, ROW(A2))</f>
        <v>0.5</v>
      </c>
      <c r="H13" s="9" cm="1">
        <f t="array" ref="H13">1/INDEX($I$12:$AK$12, 1, ROW(A1))</f>
        <v>0.33333333333333331</v>
      </c>
      <c r="I13" s="4">
        <v>1</v>
      </c>
      <c r="J13" s="5">
        <v>1</v>
      </c>
      <c r="K13" s="6">
        <v>1</v>
      </c>
      <c r="L13" s="6">
        <v>2</v>
      </c>
      <c r="M13" s="6">
        <v>2</v>
      </c>
      <c r="N13" s="6">
        <v>1</v>
      </c>
      <c r="O13" s="6">
        <v>1</v>
      </c>
      <c r="P13" s="6">
        <v>2</v>
      </c>
      <c r="Q13" s="6">
        <v>1</v>
      </c>
      <c r="R13" s="6">
        <f>0.5</f>
        <v>0.5</v>
      </c>
      <c r="S13" s="6">
        <f>1*1/3</f>
        <v>0.33333333333333331</v>
      </c>
      <c r="T13" s="6">
        <f>1*1/2</f>
        <v>0.5</v>
      </c>
      <c r="U13" s="6">
        <f>1*1/2</f>
        <v>0.5</v>
      </c>
      <c r="V13" s="6">
        <v>1</v>
      </c>
      <c r="W13" s="6">
        <v>1</v>
      </c>
      <c r="X13" s="6">
        <v>1</v>
      </c>
      <c r="Y13" s="6">
        <v>1</v>
      </c>
      <c r="Z13" s="6">
        <v>1</v>
      </c>
      <c r="AA13" s="6">
        <v>1</v>
      </c>
      <c r="AB13" s="6">
        <v>1</v>
      </c>
      <c r="AC13" s="6">
        <v>1</v>
      </c>
      <c r="AD13" s="6">
        <v>1</v>
      </c>
      <c r="AE13" s="6">
        <v>1</v>
      </c>
      <c r="AF13" s="6">
        <v>1</v>
      </c>
      <c r="AG13" s="6">
        <v>1</v>
      </c>
      <c r="AH13" s="6">
        <v>1</v>
      </c>
      <c r="AI13" s="6">
        <v>1</v>
      </c>
      <c r="AJ13" s="6">
        <v>1</v>
      </c>
      <c r="AK13" s="6">
        <v>2</v>
      </c>
      <c r="AM13" s="14" t="str">
        <f t="shared" si="0"/>
        <v>Supervise Air Attacks (AAGs)</v>
      </c>
      <c r="AN13" s="6">
        <f t="shared" si="1"/>
        <v>2.7309127245120839E-2</v>
      </c>
      <c r="AP13" s="7">
        <f t="shared" si="4"/>
        <v>1.3089005235602091E-2</v>
      </c>
      <c r="AQ13" s="7">
        <f t="shared" si="5"/>
        <v>7.9999999999999984E-3</v>
      </c>
      <c r="AR13" s="7">
        <f t="shared" si="6"/>
        <v>2.7027027027027029E-2</v>
      </c>
      <c r="AS13" s="7">
        <f t="shared" si="7"/>
        <v>3.1712473572938694E-2</v>
      </c>
      <c r="AT13" s="7">
        <f t="shared" si="8"/>
        <v>3.1712473572938694E-2</v>
      </c>
      <c r="AU13" s="7">
        <f t="shared" si="9"/>
        <v>3.9840637450199202E-2</v>
      </c>
      <c r="AV13" s="7">
        <f t="shared" si="10"/>
        <v>4.2105263157894736E-2</v>
      </c>
      <c r="AW13" s="7">
        <f t="shared" si="11"/>
        <v>3.8461538461538464E-2</v>
      </c>
      <c r="AX13" s="7">
        <f t="shared" si="12"/>
        <v>3.3707865168539332E-2</v>
      </c>
      <c r="AY13" s="7">
        <f t="shared" si="13"/>
        <v>6.091370558375634E-2</v>
      </c>
      <c r="AZ13" s="7">
        <f t="shared" si="14"/>
        <v>3.5294117647058823E-2</v>
      </c>
      <c r="BA13" s="7">
        <f t="shared" si="15"/>
        <v>1.2195121951219513E-2</v>
      </c>
      <c r="BB13" s="7">
        <f t="shared" si="16"/>
        <v>1.3289036544850499E-2</v>
      </c>
      <c r="BC13" s="7">
        <f t="shared" si="17"/>
        <v>1.8749999999999999E-2</v>
      </c>
      <c r="BD13" s="7">
        <f t="shared" si="18"/>
        <v>1.6393442622950821E-2</v>
      </c>
      <c r="BE13" s="7">
        <f t="shared" si="19"/>
        <v>2.0833333333333332E-2</v>
      </c>
      <c r="BF13" s="7">
        <f t="shared" si="20"/>
        <v>2.9850746268656716E-2</v>
      </c>
      <c r="BG13" s="7">
        <f t="shared" si="21"/>
        <v>4.2134831460674156E-2</v>
      </c>
      <c r="BH13" s="7">
        <f t="shared" si="22"/>
        <v>0.03</v>
      </c>
      <c r="BI13" s="7">
        <f t="shared" si="23"/>
        <v>2.2388059701492536E-2</v>
      </c>
      <c r="BJ13" s="7">
        <f t="shared" si="24"/>
        <v>2.7210884353741496E-2</v>
      </c>
      <c r="BK13" s="7">
        <f t="shared" si="25"/>
        <v>3.1990250590296296E-2</v>
      </c>
      <c r="BL13" s="7">
        <f t="shared" si="26"/>
        <v>3.1088082901554407E-2</v>
      </c>
      <c r="BM13" s="7">
        <f t="shared" si="27"/>
        <v>2.4691358024691357E-2</v>
      </c>
      <c r="BN13" s="7">
        <f t="shared" si="28"/>
        <v>3.0612244897959186E-2</v>
      </c>
      <c r="BO13" s="7">
        <f t="shared" si="29"/>
        <v>2.4193548387096774E-2</v>
      </c>
      <c r="BP13" s="7">
        <f t="shared" si="30"/>
        <v>2.3696682464454975E-2</v>
      </c>
      <c r="BQ13" s="7">
        <f t="shared" si="31"/>
        <v>1.779359430604982E-2</v>
      </c>
      <c r="BR13" s="7">
        <f t="shared" si="32"/>
        <v>1.5247776365946633E-2</v>
      </c>
      <c r="BS13" s="7">
        <f t="shared" si="33"/>
        <v>1.8461538461538463E-2</v>
      </c>
      <c r="BT13" s="7">
        <f t="shared" si="34"/>
        <v>3.3898305084745763E-2</v>
      </c>
    </row>
    <row r="14" spans="2:72" x14ac:dyDescent="0.25">
      <c r="E14" s="14" t="s">
        <v>15</v>
      </c>
      <c r="F14" s="15">
        <f t="shared" si="35"/>
        <v>3.4905051689186062E-2</v>
      </c>
      <c r="G14" s="9" cm="1">
        <f t="array" ref="G14">1/INDEX($H$11:$AK$11, 1, ROW(A3))</f>
        <v>0.5</v>
      </c>
      <c r="H14" s="9" cm="1">
        <f t="array" ref="H14">1/INDEX($I$12:$AK$12, 1, ROW(A2))</f>
        <v>0.25</v>
      </c>
      <c r="I14" s="9" cm="1">
        <f t="array" ref="I14">1/INDEX($J$13:$AK$13, 1, ROW(A1))</f>
        <v>1</v>
      </c>
      <c r="J14" s="4">
        <v>1</v>
      </c>
      <c r="K14" s="6">
        <v>1</v>
      </c>
      <c r="L14" s="6">
        <v>5</v>
      </c>
      <c r="M14" s="6">
        <v>3</v>
      </c>
      <c r="N14" s="6">
        <v>1</v>
      </c>
      <c r="O14" s="6">
        <v>1</v>
      </c>
      <c r="P14" s="6">
        <v>2</v>
      </c>
      <c r="Q14" s="6">
        <v>1</v>
      </c>
      <c r="R14" s="6">
        <v>1</v>
      </c>
      <c r="S14" s="6">
        <v>1</v>
      </c>
      <c r="T14" s="6">
        <f>1*1/2</f>
        <v>0.5</v>
      </c>
      <c r="U14" s="6">
        <v>1</v>
      </c>
      <c r="V14" s="6">
        <v>1</v>
      </c>
      <c r="W14" s="6">
        <v>1</v>
      </c>
      <c r="X14" s="6">
        <v>1</v>
      </c>
      <c r="Y14" s="6">
        <v>1</v>
      </c>
      <c r="Z14" s="6">
        <v>1</v>
      </c>
      <c r="AA14" s="6">
        <v>1</v>
      </c>
      <c r="AB14" s="6">
        <v>1</v>
      </c>
      <c r="AC14" s="6">
        <v>1</v>
      </c>
      <c r="AD14" s="6">
        <v>1</v>
      </c>
      <c r="AE14" s="6">
        <v>1</v>
      </c>
      <c r="AF14" s="6">
        <v>1</v>
      </c>
      <c r="AG14" s="6">
        <v>1</v>
      </c>
      <c r="AH14" s="6">
        <v>3</v>
      </c>
      <c r="AI14" s="6">
        <v>3</v>
      </c>
      <c r="AJ14" s="6">
        <v>2</v>
      </c>
      <c r="AK14" s="6">
        <v>3</v>
      </c>
      <c r="AM14" s="14" t="str">
        <f t="shared" si="0"/>
        <v>Drop Water</v>
      </c>
      <c r="AN14" s="6">
        <f t="shared" si="1"/>
        <v>3.4905051689186062E-2</v>
      </c>
      <c r="AP14" s="7">
        <f t="shared" si="4"/>
        <v>1.3089005235602091E-2</v>
      </c>
      <c r="AQ14" s="7">
        <f t="shared" si="5"/>
        <v>5.9999999999999993E-3</v>
      </c>
      <c r="AR14" s="7">
        <f t="shared" si="6"/>
        <v>2.7027027027027029E-2</v>
      </c>
      <c r="AS14" s="7">
        <f t="shared" si="7"/>
        <v>3.1712473572938694E-2</v>
      </c>
      <c r="AT14" s="7">
        <f t="shared" si="8"/>
        <v>3.1712473572938694E-2</v>
      </c>
      <c r="AU14" s="7">
        <f t="shared" si="9"/>
        <v>9.9601593625498003E-2</v>
      </c>
      <c r="AV14" s="7">
        <f t="shared" si="10"/>
        <v>6.3157894736842107E-2</v>
      </c>
      <c r="AW14" s="7">
        <f t="shared" si="11"/>
        <v>3.8461538461538464E-2</v>
      </c>
      <c r="AX14" s="7">
        <f t="shared" si="12"/>
        <v>3.3707865168539332E-2</v>
      </c>
      <c r="AY14" s="7">
        <f t="shared" si="13"/>
        <v>6.091370558375634E-2</v>
      </c>
      <c r="AZ14" s="7">
        <f t="shared" si="14"/>
        <v>3.5294117647058823E-2</v>
      </c>
      <c r="BA14" s="7">
        <f t="shared" si="15"/>
        <v>2.4390243902439025E-2</v>
      </c>
      <c r="BB14" s="7">
        <f t="shared" si="16"/>
        <v>3.9867109634551499E-2</v>
      </c>
      <c r="BC14" s="7">
        <f t="shared" si="17"/>
        <v>1.8749999999999999E-2</v>
      </c>
      <c r="BD14" s="7">
        <f t="shared" si="18"/>
        <v>3.2786885245901641E-2</v>
      </c>
      <c r="BE14" s="7">
        <f t="shared" si="19"/>
        <v>2.0833333333333332E-2</v>
      </c>
      <c r="BF14" s="7">
        <f t="shared" si="20"/>
        <v>2.9850746268656716E-2</v>
      </c>
      <c r="BG14" s="7">
        <f t="shared" si="21"/>
        <v>4.2134831460674156E-2</v>
      </c>
      <c r="BH14" s="7">
        <f t="shared" si="22"/>
        <v>0.03</v>
      </c>
      <c r="BI14" s="7">
        <f t="shared" si="23"/>
        <v>2.2388059701492536E-2</v>
      </c>
      <c r="BJ14" s="7">
        <f t="shared" si="24"/>
        <v>2.7210884353741496E-2</v>
      </c>
      <c r="BK14" s="7">
        <f t="shared" si="25"/>
        <v>3.1990250590296296E-2</v>
      </c>
      <c r="BL14" s="7">
        <f t="shared" si="26"/>
        <v>3.1088082901554407E-2</v>
      </c>
      <c r="BM14" s="7">
        <f t="shared" si="27"/>
        <v>2.4691358024691357E-2</v>
      </c>
      <c r="BN14" s="7">
        <f t="shared" si="28"/>
        <v>3.0612244897959186E-2</v>
      </c>
      <c r="BO14" s="7">
        <f t="shared" si="29"/>
        <v>2.4193548387096774E-2</v>
      </c>
      <c r="BP14" s="7">
        <f t="shared" si="30"/>
        <v>2.3696682464454975E-2</v>
      </c>
      <c r="BQ14" s="7">
        <f t="shared" si="31"/>
        <v>5.3380782918149454E-2</v>
      </c>
      <c r="BR14" s="7">
        <f t="shared" si="32"/>
        <v>4.5743329097839902E-2</v>
      </c>
      <c r="BS14" s="7">
        <f t="shared" si="33"/>
        <v>3.6923076923076927E-2</v>
      </c>
      <c r="BT14" s="7">
        <f t="shared" si="34"/>
        <v>5.0847457627118647E-2</v>
      </c>
    </row>
    <row r="15" spans="2:72" x14ac:dyDescent="0.25">
      <c r="E15" s="14" t="s">
        <v>16</v>
      </c>
      <c r="F15" s="15">
        <f t="shared" si="35"/>
        <v>3.4905051689186062E-2</v>
      </c>
      <c r="G15" s="9" cm="1">
        <f t="array" ref="G15">1/INDEX($H$11:$AK$11, 1, ROW(A4))</f>
        <v>0.5</v>
      </c>
      <c r="H15" s="9" cm="1">
        <f t="array" ref="H15">1/INDEX($I$12:$AK$12, 1, ROW(A3))</f>
        <v>0.25</v>
      </c>
      <c r="I15" s="9" cm="1">
        <f t="array" ref="I15">1/INDEX($J$13:$AK$13, 1, ROW(A2))</f>
        <v>1</v>
      </c>
      <c r="J15" s="14" cm="1">
        <f t="array" ref="J15">1/INDEX($K$14:$AK$14, 1, ROW(A1))</f>
        <v>1</v>
      </c>
      <c r="K15" s="4">
        <v>1</v>
      </c>
      <c r="L15" s="6">
        <v>5</v>
      </c>
      <c r="M15" s="6">
        <v>3</v>
      </c>
      <c r="N15" s="6">
        <v>1</v>
      </c>
      <c r="O15" s="6">
        <v>1</v>
      </c>
      <c r="P15" s="6">
        <v>2</v>
      </c>
      <c r="Q15" s="6">
        <v>1</v>
      </c>
      <c r="R15" s="6">
        <v>1</v>
      </c>
      <c r="S15" s="6">
        <v>1</v>
      </c>
      <c r="T15" s="6">
        <f>1*1/2</f>
        <v>0.5</v>
      </c>
      <c r="U15" s="6">
        <v>1</v>
      </c>
      <c r="V15" s="6">
        <v>1</v>
      </c>
      <c r="W15" s="6">
        <v>1</v>
      </c>
      <c r="X15" s="6">
        <v>1</v>
      </c>
      <c r="Y15" s="6">
        <v>1</v>
      </c>
      <c r="Z15" s="6">
        <v>1</v>
      </c>
      <c r="AA15" s="6">
        <v>1</v>
      </c>
      <c r="AB15" s="6">
        <v>1</v>
      </c>
      <c r="AC15" s="6">
        <v>1</v>
      </c>
      <c r="AD15" s="6">
        <v>1</v>
      </c>
      <c r="AE15" s="6">
        <v>1</v>
      </c>
      <c r="AF15" s="6">
        <v>1</v>
      </c>
      <c r="AG15" s="6">
        <v>1</v>
      </c>
      <c r="AH15" s="6">
        <v>3</v>
      </c>
      <c r="AI15" s="6">
        <v>3</v>
      </c>
      <c r="AJ15" s="6">
        <v>2</v>
      </c>
      <c r="AK15" s="6">
        <v>3</v>
      </c>
      <c r="AM15" s="14" t="str">
        <f t="shared" si="0"/>
        <v>Drop Fire Retardant</v>
      </c>
      <c r="AN15" s="6">
        <f t="shared" si="1"/>
        <v>3.4905051689186062E-2</v>
      </c>
      <c r="AP15" s="7">
        <f t="shared" si="4"/>
        <v>1.3089005235602091E-2</v>
      </c>
      <c r="AQ15" s="7">
        <f t="shared" si="5"/>
        <v>5.9999999999999993E-3</v>
      </c>
      <c r="AR15" s="7">
        <f t="shared" si="6"/>
        <v>2.7027027027027029E-2</v>
      </c>
      <c r="AS15" s="7">
        <f t="shared" si="7"/>
        <v>3.1712473572938694E-2</v>
      </c>
      <c r="AT15" s="7">
        <f t="shared" si="8"/>
        <v>3.1712473572938694E-2</v>
      </c>
      <c r="AU15" s="7">
        <f t="shared" si="9"/>
        <v>9.9601593625498003E-2</v>
      </c>
      <c r="AV15" s="7">
        <f t="shared" si="10"/>
        <v>6.3157894736842107E-2</v>
      </c>
      <c r="AW15" s="7">
        <f t="shared" si="11"/>
        <v>3.8461538461538464E-2</v>
      </c>
      <c r="AX15" s="7">
        <f t="shared" si="12"/>
        <v>3.3707865168539332E-2</v>
      </c>
      <c r="AY15" s="7">
        <f t="shared" si="13"/>
        <v>6.091370558375634E-2</v>
      </c>
      <c r="AZ15" s="7">
        <f t="shared" si="14"/>
        <v>3.5294117647058823E-2</v>
      </c>
      <c r="BA15" s="7">
        <f t="shared" si="15"/>
        <v>2.4390243902439025E-2</v>
      </c>
      <c r="BB15" s="7">
        <f t="shared" si="16"/>
        <v>3.9867109634551499E-2</v>
      </c>
      <c r="BC15" s="7">
        <f t="shared" si="17"/>
        <v>1.8749999999999999E-2</v>
      </c>
      <c r="BD15" s="7">
        <f t="shared" si="18"/>
        <v>3.2786885245901641E-2</v>
      </c>
      <c r="BE15" s="7">
        <f t="shared" si="19"/>
        <v>2.0833333333333332E-2</v>
      </c>
      <c r="BF15" s="7">
        <f t="shared" si="20"/>
        <v>2.9850746268656716E-2</v>
      </c>
      <c r="BG15" s="7">
        <f t="shared" si="21"/>
        <v>4.2134831460674156E-2</v>
      </c>
      <c r="BH15" s="7">
        <f t="shared" si="22"/>
        <v>0.03</v>
      </c>
      <c r="BI15" s="7">
        <f t="shared" si="23"/>
        <v>2.2388059701492536E-2</v>
      </c>
      <c r="BJ15" s="7">
        <f t="shared" si="24"/>
        <v>2.7210884353741496E-2</v>
      </c>
      <c r="BK15" s="7">
        <f t="shared" si="25"/>
        <v>3.1990250590296296E-2</v>
      </c>
      <c r="BL15" s="7">
        <f t="shared" si="26"/>
        <v>3.1088082901554407E-2</v>
      </c>
      <c r="BM15" s="7">
        <f t="shared" si="27"/>
        <v>2.4691358024691357E-2</v>
      </c>
      <c r="BN15" s="7">
        <f t="shared" si="28"/>
        <v>3.0612244897959186E-2</v>
      </c>
      <c r="BO15" s="7">
        <f t="shared" si="29"/>
        <v>2.4193548387096774E-2</v>
      </c>
      <c r="BP15" s="7">
        <f t="shared" si="30"/>
        <v>2.3696682464454975E-2</v>
      </c>
      <c r="BQ15" s="7">
        <f t="shared" si="31"/>
        <v>5.3380782918149454E-2</v>
      </c>
      <c r="BR15" s="7">
        <f t="shared" si="32"/>
        <v>4.5743329097839902E-2</v>
      </c>
      <c r="BS15" s="7">
        <f t="shared" si="33"/>
        <v>3.6923076923076927E-2</v>
      </c>
      <c r="BT15" s="7">
        <f t="shared" si="34"/>
        <v>5.0847457627118647E-2</v>
      </c>
    </row>
    <row r="16" spans="2:72" x14ac:dyDescent="0.25">
      <c r="E16" s="14" t="s">
        <v>17</v>
      </c>
      <c r="F16" s="15">
        <f t="shared" si="35"/>
        <v>2.4850734420388036E-2</v>
      </c>
      <c r="G16" s="9" cm="1">
        <f t="array" ref="G16">1/INDEX($H$11:$AK$11, 1, ROW(A5))</f>
        <v>5</v>
      </c>
      <c r="H16" s="9" cm="1">
        <f t="array" ref="H16">1/INDEX($I$12:$AK$12, 1, ROW(A4))</f>
        <v>0.33333333333333331</v>
      </c>
      <c r="I16" s="9" cm="1">
        <f t="array" ref="I16">1/INDEX($J$13:$AK$13, 1, ROW(A3))</f>
        <v>0.5</v>
      </c>
      <c r="J16" s="14" cm="1">
        <f t="array" ref="J16">1/INDEX($K$14:$AK$14, 1, ROW(A2))</f>
        <v>0.2</v>
      </c>
      <c r="K16" s="14" cm="1">
        <f t="array" ref="K16">1/INDEX($L$15:$AK$15, 1, ROW(A1))</f>
        <v>0.2</v>
      </c>
      <c r="L16" s="4">
        <v>1</v>
      </c>
      <c r="M16" s="6">
        <f>1*1/2</f>
        <v>0.5</v>
      </c>
      <c r="N16" s="6">
        <f>1*1/3</f>
        <v>0.33333333333333331</v>
      </c>
      <c r="O16" s="6">
        <f>1*1/3</f>
        <v>0.33333333333333331</v>
      </c>
      <c r="P16" s="6">
        <f>1*1/2</f>
        <v>0.5</v>
      </c>
      <c r="Q16" s="6">
        <f>1*1/2</f>
        <v>0.5</v>
      </c>
      <c r="R16" s="6">
        <v>1</v>
      </c>
      <c r="S16" s="6">
        <v>1</v>
      </c>
      <c r="T16" s="6">
        <v>1</v>
      </c>
      <c r="U16" s="6">
        <v>1</v>
      </c>
      <c r="V16" s="6">
        <v>1</v>
      </c>
      <c r="W16" s="6">
        <v>1</v>
      </c>
      <c r="X16" s="6">
        <v>1</v>
      </c>
      <c r="Y16" s="6">
        <v>1</v>
      </c>
      <c r="Z16" s="6">
        <v>1</v>
      </c>
      <c r="AA16" s="6">
        <v>1</v>
      </c>
      <c r="AB16" s="6">
        <v>1</v>
      </c>
      <c r="AC16" s="6">
        <v>1</v>
      </c>
      <c r="AD16" s="6">
        <v>1</v>
      </c>
      <c r="AE16" s="6">
        <f>1*1/2</f>
        <v>0.5</v>
      </c>
      <c r="AF16" s="6">
        <v>1</v>
      </c>
      <c r="AG16" s="6">
        <v>1</v>
      </c>
      <c r="AH16" s="6">
        <v>1</v>
      </c>
      <c r="AI16" s="6">
        <v>1</v>
      </c>
      <c r="AJ16" s="6">
        <v>1</v>
      </c>
      <c r="AK16" s="6">
        <f>1*1/2</f>
        <v>0.5</v>
      </c>
      <c r="AM16" s="14" t="str">
        <f t="shared" si="0"/>
        <v>Perform Post-Drop Assessment</v>
      </c>
      <c r="AN16" s="6">
        <f t="shared" si="1"/>
        <v>2.4850734420388036E-2</v>
      </c>
      <c r="AP16" s="7">
        <f t="shared" si="4"/>
        <v>0.13089005235602091</v>
      </c>
      <c r="AQ16" s="7">
        <f t="shared" si="5"/>
        <v>7.9999999999999984E-3</v>
      </c>
      <c r="AR16" s="7">
        <f t="shared" si="6"/>
        <v>1.3513513513513514E-2</v>
      </c>
      <c r="AS16" s="7">
        <f t="shared" si="7"/>
        <v>6.3424947145877394E-3</v>
      </c>
      <c r="AT16" s="7">
        <f t="shared" si="8"/>
        <v>6.3424947145877394E-3</v>
      </c>
      <c r="AU16" s="7">
        <f t="shared" si="9"/>
        <v>1.9920318725099601E-2</v>
      </c>
      <c r="AV16" s="7">
        <f t="shared" si="10"/>
        <v>1.0526315789473684E-2</v>
      </c>
      <c r="AW16" s="7">
        <f t="shared" si="11"/>
        <v>1.2820512820512822E-2</v>
      </c>
      <c r="AX16" s="7">
        <f t="shared" si="12"/>
        <v>1.1235955056179775E-2</v>
      </c>
      <c r="AY16" s="7">
        <f t="shared" si="13"/>
        <v>1.5228426395939085E-2</v>
      </c>
      <c r="AZ16" s="7">
        <f t="shared" si="14"/>
        <v>1.7647058823529412E-2</v>
      </c>
      <c r="BA16" s="7">
        <f t="shared" si="15"/>
        <v>2.4390243902439025E-2</v>
      </c>
      <c r="BB16" s="7">
        <f t="shared" si="16"/>
        <v>3.9867109634551499E-2</v>
      </c>
      <c r="BC16" s="7">
        <f t="shared" si="17"/>
        <v>3.7499999999999999E-2</v>
      </c>
      <c r="BD16" s="7">
        <f t="shared" si="18"/>
        <v>3.2786885245901641E-2</v>
      </c>
      <c r="BE16" s="7">
        <f t="shared" si="19"/>
        <v>2.0833333333333332E-2</v>
      </c>
      <c r="BF16" s="7">
        <f t="shared" si="20"/>
        <v>2.9850746268656716E-2</v>
      </c>
      <c r="BG16" s="7">
        <f t="shared" si="21"/>
        <v>4.2134831460674156E-2</v>
      </c>
      <c r="BH16" s="7">
        <f t="shared" si="22"/>
        <v>0.03</v>
      </c>
      <c r="BI16" s="7">
        <f t="shared" si="23"/>
        <v>2.2388059701492536E-2</v>
      </c>
      <c r="BJ16" s="7">
        <f t="shared" si="24"/>
        <v>2.7210884353741496E-2</v>
      </c>
      <c r="BK16" s="7">
        <f t="shared" si="25"/>
        <v>3.1990250590296296E-2</v>
      </c>
      <c r="BL16" s="7">
        <f t="shared" si="26"/>
        <v>3.1088082901554407E-2</v>
      </c>
      <c r="BM16" s="7">
        <f t="shared" si="27"/>
        <v>2.4691358024691357E-2</v>
      </c>
      <c r="BN16" s="7">
        <f t="shared" si="28"/>
        <v>1.5306122448979593E-2</v>
      </c>
      <c r="BO16" s="7">
        <f t="shared" si="29"/>
        <v>2.4193548387096774E-2</v>
      </c>
      <c r="BP16" s="7">
        <f t="shared" si="30"/>
        <v>2.3696682464454975E-2</v>
      </c>
      <c r="BQ16" s="7">
        <f t="shared" si="31"/>
        <v>1.779359430604982E-2</v>
      </c>
      <c r="BR16" s="7">
        <f t="shared" si="32"/>
        <v>1.5247776365946633E-2</v>
      </c>
      <c r="BS16" s="7">
        <f t="shared" si="33"/>
        <v>1.8461538461538463E-2</v>
      </c>
      <c r="BT16" s="7">
        <f t="shared" si="34"/>
        <v>8.4745762711864406E-3</v>
      </c>
    </row>
    <row r="17" spans="5:72" x14ac:dyDescent="0.25">
      <c r="E17" s="14" t="s">
        <v>18</v>
      </c>
      <c r="F17" s="15">
        <f t="shared" si="35"/>
        <v>2.158396181042813E-2</v>
      </c>
      <c r="G17" s="9" cm="1">
        <f t="array" ref="G17">1/INDEX($H$11:$AK$11, 1, ROW(A6))</f>
        <v>0.5</v>
      </c>
      <c r="H17" s="9" cm="1">
        <f t="array" ref="H17">1/INDEX($I$12:$AK$12, 1, ROW(A5))</f>
        <v>0.33333333333333331</v>
      </c>
      <c r="I17" s="9" cm="1">
        <f t="array" ref="I17">1/INDEX($J$13:$AK$13, 1, ROW(A4))</f>
        <v>0.5</v>
      </c>
      <c r="J17" s="14" cm="1">
        <f t="array" ref="J17">1/INDEX($K$14:$AK$14, 1, ROW(A3))</f>
        <v>0.33333333333333331</v>
      </c>
      <c r="K17" s="14" cm="1">
        <f t="array" ref="K17">1/INDEX($L$15:$AK$15, 1, ROW(A2))</f>
        <v>0.33333333333333331</v>
      </c>
      <c r="L17" s="14" cm="1">
        <f t="array" ref="L17">1/INDEX($M$16:$AK$16, 1, ROW(A1))</f>
        <v>2</v>
      </c>
      <c r="M17" s="4">
        <v>1</v>
      </c>
      <c r="N17" s="6">
        <f>1*1/3</f>
        <v>0.33333333333333331</v>
      </c>
      <c r="O17" s="6">
        <f>1*1/3</f>
        <v>0.33333333333333331</v>
      </c>
      <c r="P17" s="6">
        <f>1*1/2</f>
        <v>0.5</v>
      </c>
      <c r="Q17" s="6">
        <f>1*1/2</f>
        <v>0.5</v>
      </c>
      <c r="R17" s="6">
        <v>1</v>
      </c>
      <c r="S17" s="6">
        <v>1</v>
      </c>
      <c r="T17" s="6">
        <f>1/2</f>
        <v>0.5</v>
      </c>
      <c r="U17" s="6">
        <v>1</v>
      </c>
      <c r="V17" s="6">
        <v>1</v>
      </c>
      <c r="W17" s="6">
        <v>1</v>
      </c>
      <c r="X17" s="6">
        <v>1</v>
      </c>
      <c r="Y17" s="6">
        <v>1</v>
      </c>
      <c r="Z17" s="6">
        <v>1</v>
      </c>
      <c r="AA17" s="6">
        <v>1</v>
      </c>
      <c r="AB17" s="6">
        <v>1</v>
      </c>
      <c r="AC17" s="6">
        <v>1</v>
      </c>
      <c r="AD17" s="6">
        <v>1</v>
      </c>
      <c r="AE17" s="6">
        <f>1*1/2</f>
        <v>0.5</v>
      </c>
      <c r="AF17" s="6">
        <f>1*1/2</f>
        <v>0.5</v>
      </c>
      <c r="AG17" s="6">
        <v>1</v>
      </c>
      <c r="AH17" s="6">
        <v>1</v>
      </c>
      <c r="AI17" s="6">
        <v>1</v>
      </c>
      <c r="AJ17" s="6">
        <v>1</v>
      </c>
      <c r="AK17" s="6">
        <v>1</v>
      </c>
      <c r="AM17" s="14" t="str">
        <f t="shared" si="0"/>
        <v>Dispatch To Reloading Base</v>
      </c>
      <c r="AN17" s="6">
        <f t="shared" si="1"/>
        <v>2.158396181042813E-2</v>
      </c>
      <c r="AP17" s="7">
        <f t="shared" si="4"/>
        <v>1.3089005235602091E-2</v>
      </c>
      <c r="AQ17" s="7">
        <f t="shared" si="5"/>
        <v>7.9999999999999984E-3</v>
      </c>
      <c r="AR17" s="7">
        <f t="shared" si="6"/>
        <v>1.3513513513513514E-2</v>
      </c>
      <c r="AS17" s="7">
        <f t="shared" si="7"/>
        <v>1.0570824524312898E-2</v>
      </c>
      <c r="AT17" s="7">
        <f t="shared" si="8"/>
        <v>1.0570824524312898E-2</v>
      </c>
      <c r="AU17" s="7">
        <f t="shared" si="9"/>
        <v>3.9840637450199202E-2</v>
      </c>
      <c r="AV17" s="7">
        <f t="shared" si="10"/>
        <v>2.1052631578947368E-2</v>
      </c>
      <c r="AW17" s="7">
        <f t="shared" si="11"/>
        <v>1.2820512820512822E-2</v>
      </c>
      <c r="AX17" s="7">
        <f t="shared" si="12"/>
        <v>1.1235955056179775E-2</v>
      </c>
      <c r="AY17" s="7">
        <f t="shared" si="13"/>
        <v>1.5228426395939085E-2</v>
      </c>
      <c r="AZ17" s="7">
        <f t="shared" si="14"/>
        <v>1.7647058823529412E-2</v>
      </c>
      <c r="BA17" s="7">
        <f t="shared" si="15"/>
        <v>2.4390243902439025E-2</v>
      </c>
      <c r="BB17" s="7">
        <f t="shared" si="16"/>
        <v>3.9867109634551499E-2</v>
      </c>
      <c r="BC17" s="7">
        <f t="shared" si="17"/>
        <v>1.8749999999999999E-2</v>
      </c>
      <c r="BD17" s="7">
        <f t="shared" si="18"/>
        <v>3.2786885245901641E-2</v>
      </c>
      <c r="BE17" s="7">
        <f t="shared" si="19"/>
        <v>2.0833333333333332E-2</v>
      </c>
      <c r="BF17" s="7">
        <f t="shared" si="20"/>
        <v>2.9850746268656716E-2</v>
      </c>
      <c r="BG17" s="7">
        <f t="shared" si="21"/>
        <v>4.2134831460674156E-2</v>
      </c>
      <c r="BH17" s="7">
        <f t="shared" si="22"/>
        <v>0.03</v>
      </c>
      <c r="BI17" s="7">
        <f t="shared" si="23"/>
        <v>2.2388059701492536E-2</v>
      </c>
      <c r="BJ17" s="7">
        <f t="shared" si="24"/>
        <v>2.7210884353741496E-2</v>
      </c>
      <c r="BK17" s="7">
        <f t="shared" si="25"/>
        <v>3.1990250590296296E-2</v>
      </c>
      <c r="BL17" s="7">
        <f t="shared" si="26"/>
        <v>3.1088082901554407E-2</v>
      </c>
      <c r="BM17" s="7">
        <f t="shared" si="27"/>
        <v>2.4691358024691357E-2</v>
      </c>
      <c r="BN17" s="7">
        <f t="shared" si="28"/>
        <v>1.5306122448979593E-2</v>
      </c>
      <c r="BO17" s="7">
        <f t="shared" si="29"/>
        <v>1.2096774193548387E-2</v>
      </c>
      <c r="BP17" s="7">
        <f t="shared" si="30"/>
        <v>2.3696682464454975E-2</v>
      </c>
      <c r="BQ17" s="7">
        <f t="shared" si="31"/>
        <v>1.779359430604982E-2</v>
      </c>
      <c r="BR17" s="7">
        <f t="shared" si="32"/>
        <v>1.5247776365946633E-2</v>
      </c>
      <c r="BS17" s="7">
        <f t="shared" si="33"/>
        <v>1.8461538461538463E-2</v>
      </c>
      <c r="BT17" s="7">
        <f t="shared" si="34"/>
        <v>1.6949152542372881E-2</v>
      </c>
    </row>
    <row r="18" spans="5:72" x14ac:dyDescent="0.25">
      <c r="E18" s="14" t="s">
        <v>19</v>
      </c>
      <c r="F18" s="15">
        <f t="shared" si="35"/>
        <v>3.645997771351378E-2</v>
      </c>
      <c r="G18" s="9" cm="1">
        <f t="array" ref="G18">1/INDEX($H$11:$AK$11, 1, ROW(A7))</f>
        <v>1</v>
      </c>
      <c r="H18" s="9" cm="1">
        <f t="array" ref="H18">1/INDEX($I$12:$AK$12, 1, ROW(A6))</f>
        <v>2</v>
      </c>
      <c r="I18" s="9" cm="1">
        <f t="array" ref="I18">1/INDEX($J$13:$AK$13, 1, ROW(A5))</f>
        <v>1</v>
      </c>
      <c r="J18" s="14" cm="1">
        <f t="array" ref="J18">1/INDEX($K$14:$AK$14, 1, ROW(A4))</f>
        <v>1</v>
      </c>
      <c r="K18" s="14" cm="1">
        <f t="array" ref="K18">1/INDEX($L$15:$AK$15, 1, ROW(A3))</f>
        <v>1</v>
      </c>
      <c r="L18" s="14" cm="1">
        <f t="array" ref="L18">1/INDEX($M$16:$AK$16, 1, ROW(A2))</f>
        <v>3</v>
      </c>
      <c r="M18" s="14" cm="1">
        <f t="array" ref="M18">1/INDEX($N$17:$AK$17, 1, ROW(A1))</f>
        <v>3</v>
      </c>
      <c r="N18" s="4">
        <v>1</v>
      </c>
      <c r="O18" s="6">
        <v>1</v>
      </c>
      <c r="P18" s="6">
        <v>1</v>
      </c>
      <c r="Q18" s="6">
        <v>1</v>
      </c>
      <c r="R18" s="6">
        <v>1</v>
      </c>
      <c r="S18" s="6">
        <v>1</v>
      </c>
      <c r="T18" s="6">
        <v>1</v>
      </c>
      <c r="U18" s="6">
        <v>1</v>
      </c>
      <c r="V18" s="6">
        <v>1</v>
      </c>
      <c r="W18" s="6">
        <v>1</v>
      </c>
      <c r="X18" s="6">
        <v>1</v>
      </c>
      <c r="Y18" s="6">
        <v>1</v>
      </c>
      <c r="Z18" s="6">
        <v>1</v>
      </c>
      <c r="AA18" s="6">
        <v>1</v>
      </c>
      <c r="AB18" s="6">
        <v>1</v>
      </c>
      <c r="AC18" s="6">
        <v>2</v>
      </c>
      <c r="AD18" s="6">
        <v>3</v>
      </c>
      <c r="AE18" s="6">
        <v>1</v>
      </c>
      <c r="AF18" s="6">
        <v>2</v>
      </c>
      <c r="AG18" s="6">
        <v>2</v>
      </c>
      <c r="AH18" s="6">
        <v>2</v>
      </c>
      <c r="AI18" s="6">
        <v>1</v>
      </c>
      <c r="AJ18" s="6">
        <v>1</v>
      </c>
      <c r="AK18" s="6">
        <v>2</v>
      </c>
      <c r="AM18" s="14" t="str">
        <f t="shared" si="0"/>
        <v>Deploy Ground Assets</v>
      </c>
      <c r="AN18" s="6">
        <f t="shared" si="1"/>
        <v>3.645997771351378E-2</v>
      </c>
      <c r="AP18" s="7">
        <f t="shared" si="4"/>
        <v>2.6178010471204181E-2</v>
      </c>
      <c r="AQ18" s="7">
        <f t="shared" si="5"/>
        <v>4.7999999999999994E-2</v>
      </c>
      <c r="AR18" s="7">
        <f t="shared" si="6"/>
        <v>2.7027027027027029E-2</v>
      </c>
      <c r="AS18" s="7">
        <f t="shared" si="7"/>
        <v>3.1712473572938694E-2</v>
      </c>
      <c r="AT18" s="7">
        <f t="shared" si="8"/>
        <v>3.1712473572938694E-2</v>
      </c>
      <c r="AU18" s="7">
        <f t="shared" si="9"/>
        <v>5.97609561752988E-2</v>
      </c>
      <c r="AV18" s="7">
        <f t="shared" si="10"/>
        <v>6.3157894736842107E-2</v>
      </c>
      <c r="AW18" s="7">
        <f t="shared" si="11"/>
        <v>3.8461538461538464E-2</v>
      </c>
      <c r="AX18" s="7">
        <f t="shared" si="12"/>
        <v>3.3707865168539332E-2</v>
      </c>
      <c r="AY18" s="7">
        <f t="shared" si="13"/>
        <v>3.045685279187817E-2</v>
      </c>
      <c r="AZ18" s="7">
        <f t="shared" si="14"/>
        <v>3.5294117647058823E-2</v>
      </c>
      <c r="BA18" s="7">
        <f t="shared" si="15"/>
        <v>2.4390243902439025E-2</v>
      </c>
      <c r="BB18" s="7">
        <f t="shared" si="16"/>
        <v>3.9867109634551499E-2</v>
      </c>
      <c r="BC18" s="7">
        <f t="shared" si="17"/>
        <v>3.7499999999999999E-2</v>
      </c>
      <c r="BD18" s="7">
        <f t="shared" si="18"/>
        <v>3.2786885245901641E-2</v>
      </c>
      <c r="BE18" s="7">
        <f t="shared" si="19"/>
        <v>2.0833333333333332E-2</v>
      </c>
      <c r="BF18" s="7">
        <f t="shared" si="20"/>
        <v>2.9850746268656716E-2</v>
      </c>
      <c r="BG18" s="7">
        <f t="shared" si="21"/>
        <v>4.2134831460674156E-2</v>
      </c>
      <c r="BH18" s="7">
        <f t="shared" si="22"/>
        <v>0.03</v>
      </c>
      <c r="BI18" s="7">
        <f t="shared" si="23"/>
        <v>2.2388059701492536E-2</v>
      </c>
      <c r="BJ18" s="7">
        <f t="shared" si="24"/>
        <v>2.7210884353741496E-2</v>
      </c>
      <c r="BK18" s="7">
        <f t="shared" si="25"/>
        <v>3.1990250590296296E-2</v>
      </c>
      <c r="BL18" s="7">
        <f t="shared" si="26"/>
        <v>6.2176165803108814E-2</v>
      </c>
      <c r="BM18" s="7">
        <f t="shared" si="27"/>
        <v>7.407407407407407E-2</v>
      </c>
      <c r="BN18" s="7">
        <f t="shared" si="28"/>
        <v>3.0612244897959186E-2</v>
      </c>
      <c r="BO18" s="7">
        <f t="shared" si="29"/>
        <v>4.8387096774193547E-2</v>
      </c>
      <c r="BP18" s="7">
        <f t="shared" si="30"/>
        <v>4.7393364928909949E-2</v>
      </c>
      <c r="BQ18" s="7">
        <f t="shared" si="31"/>
        <v>3.5587188612099641E-2</v>
      </c>
      <c r="BR18" s="7">
        <f t="shared" si="32"/>
        <v>1.5247776365946633E-2</v>
      </c>
      <c r="BS18" s="7">
        <f t="shared" si="33"/>
        <v>1.8461538461538463E-2</v>
      </c>
      <c r="BT18" s="7">
        <f t="shared" si="34"/>
        <v>3.3898305084745763E-2</v>
      </c>
    </row>
    <row r="19" spans="5:72" x14ac:dyDescent="0.25">
      <c r="E19" s="14" t="s">
        <v>20</v>
      </c>
      <c r="F19" s="15">
        <f t="shared" si="35"/>
        <v>3.228233717434615E-2</v>
      </c>
      <c r="G19" s="9" cm="1">
        <f t="array" ref="G19">1/INDEX($H$11:$AK$11, 1, ROW(A8))</f>
        <v>1</v>
      </c>
      <c r="H19" s="9" cm="1">
        <f t="array" ref="H19">1/INDEX($I$12:$AK$12, 1, ROW(A7))</f>
        <v>2</v>
      </c>
      <c r="I19" s="9" cm="1">
        <f t="array" ref="I19">1/INDEX($J$13:$AK$13, 1, ROW(A6))</f>
        <v>1</v>
      </c>
      <c r="J19" s="14" cm="1">
        <f t="array" ref="J19">1/INDEX($K$14:$AK$14, 1, ROW(A5))</f>
        <v>1</v>
      </c>
      <c r="K19" s="14" cm="1">
        <f t="array" ref="K19">1/INDEX($L$15:$AK$15, 1, ROW(A4))</f>
        <v>1</v>
      </c>
      <c r="L19" s="14" cm="1">
        <f t="array" ref="L19">1/INDEX($M$16:$AK$16, 1, ROW(A3))</f>
        <v>3</v>
      </c>
      <c r="M19" s="14" cm="1">
        <f t="array" ref="M19">1/INDEX($N$17:$AK$17, 1, ROW(A2))</f>
        <v>3</v>
      </c>
      <c r="N19" s="14" cm="1">
        <f t="array" ref="N19">1/INDEX($O$18:$AK$18, 1, ROW(A1))</f>
        <v>1</v>
      </c>
      <c r="O19" s="4">
        <v>1</v>
      </c>
      <c r="P19" s="6">
        <v>1</v>
      </c>
      <c r="Q19" s="6">
        <v>1</v>
      </c>
      <c r="R19" s="6">
        <v>2</v>
      </c>
      <c r="S19" s="6">
        <f>0.5</f>
        <v>0.5</v>
      </c>
      <c r="T19" s="6">
        <f>0.5</f>
        <v>0.5</v>
      </c>
      <c r="U19" s="6">
        <v>1</v>
      </c>
      <c r="V19" s="6">
        <v>1</v>
      </c>
      <c r="W19" s="6">
        <v>1</v>
      </c>
      <c r="X19" s="6">
        <v>1</v>
      </c>
      <c r="Y19" s="6">
        <v>1</v>
      </c>
      <c r="Z19" s="6">
        <v>1</v>
      </c>
      <c r="AA19" s="6">
        <v>1</v>
      </c>
      <c r="AB19" s="6">
        <v>1</v>
      </c>
      <c r="AC19" s="6">
        <v>1</v>
      </c>
      <c r="AD19" s="6">
        <v>1</v>
      </c>
      <c r="AE19" s="6">
        <v>1</v>
      </c>
      <c r="AF19" s="6">
        <v>2</v>
      </c>
      <c r="AG19" s="6">
        <v>2</v>
      </c>
      <c r="AH19" s="6">
        <v>1</v>
      </c>
      <c r="AI19" s="6">
        <v>1</v>
      </c>
      <c r="AJ19" s="6">
        <v>1</v>
      </c>
      <c r="AK19" s="6">
        <v>1</v>
      </c>
      <c r="AM19" s="14" t="str">
        <f t="shared" si="0"/>
        <v>Establish Containment Lines</v>
      </c>
      <c r="AN19" s="6">
        <f t="shared" si="1"/>
        <v>3.228233717434615E-2</v>
      </c>
      <c r="AP19" s="7">
        <f t="shared" si="4"/>
        <v>2.6178010471204181E-2</v>
      </c>
      <c r="AQ19" s="7">
        <f t="shared" si="5"/>
        <v>4.7999999999999994E-2</v>
      </c>
      <c r="AR19" s="7">
        <f t="shared" si="6"/>
        <v>2.7027027027027029E-2</v>
      </c>
      <c r="AS19" s="7">
        <f t="shared" si="7"/>
        <v>3.1712473572938694E-2</v>
      </c>
      <c r="AT19" s="7">
        <f t="shared" si="8"/>
        <v>3.1712473572938694E-2</v>
      </c>
      <c r="AU19" s="7">
        <f t="shared" si="9"/>
        <v>5.97609561752988E-2</v>
      </c>
      <c r="AV19" s="7">
        <f t="shared" si="10"/>
        <v>6.3157894736842107E-2</v>
      </c>
      <c r="AW19" s="7">
        <f t="shared" si="11"/>
        <v>3.8461538461538464E-2</v>
      </c>
      <c r="AX19" s="7">
        <f t="shared" si="12"/>
        <v>3.3707865168539332E-2</v>
      </c>
      <c r="AY19" s="7">
        <f t="shared" si="13"/>
        <v>3.045685279187817E-2</v>
      </c>
      <c r="AZ19" s="7">
        <f t="shared" si="14"/>
        <v>3.5294117647058823E-2</v>
      </c>
      <c r="BA19" s="7">
        <f t="shared" si="15"/>
        <v>4.878048780487805E-2</v>
      </c>
      <c r="BB19" s="7">
        <f t="shared" si="16"/>
        <v>1.993355481727575E-2</v>
      </c>
      <c r="BC19" s="7">
        <f t="shared" si="17"/>
        <v>1.8749999999999999E-2</v>
      </c>
      <c r="BD19" s="7">
        <f t="shared" si="18"/>
        <v>3.2786885245901641E-2</v>
      </c>
      <c r="BE19" s="7">
        <f t="shared" si="19"/>
        <v>2.0833333333333332E-2</v>
      </c>
      <c r="BF19" s="7">
        <f t="shared" si="20"/>
        <v>2.9850746268656716E-2</v>
      </c>
      <c r="BG19" s="7">
        <f t="shared" si="21"/>
        <v>4.2134831460674156E-2</v>
      </c>
      <c r="BH19" s="7">
        <f t="shared" si="22"/>
        <v>0.03</v>
      </c>
      <c r="BI19" s="7">
        <f t="shared" si="23"/>
        <v>2.2388059701492536E-2</v>
      </c>
      <c r="BJ19" s="7">
        <f t="shared" si="24"/>
        <v>2.7210884353741496E-2</v>
      </c>
      <c r="BK19" s="7">
        <f t="shared" si="25"/>
        <v>3.1990250590296296E-2</v>
      </c>
      <c r="BL19" s="7">
        <f t="shared" si="26"/>
        <v>3.1088082901554407E-2</v>
      </c>
      <c r="BM19" s="7">
        <f t="shared" si="27"/>
        <v>2.4691358024691357E-2</v>
      </c>
      <c r="BN19" s="7">
        <f t="shared" si="28"/>
        <v>3.0612244897959186E-2</v>
      </c>
      <c r="BO19" s="7">
        <f t="shared" si="29"/>
        <v>4.8387096774193547E-2</v>
      </c>
      <c r="BP19" s="7">
        <f t="shared" si="30"/>
        <v>4.7393364928909949E-2</v>
      </c>
      <c r="BQ19" s="7">
        <f t="shared" si="31"/>
        <v>1.779359430604982E-2</v>
      </c>
      <c r="BR19" s="7">
        <f t="shared" si="32"/>
        <v>1.5247776365946633E-2</v>
      </c>
      <c r="BS19" s="7">
        <f t="shared" si="33"/>
        <v>1.8461538461538463E-2</v>
      </c>
      <c r="BT19" s="7">
        <f t="shared" si="34"/>
        <v>1.6949152542372881E-2</v>
      </c>
    </row>
    <row r="20" spans="5:72" x14ac:dyDescent="0.25">
      <c r="E20" s="14" t="s">
        <v>21</v>
      </c>
      <c r="F20" s="15">
        <f t="shared" si="35"/>
        <v>3.1946995316219896E-2</v>
      </c>
      <c r="G20" s="9" cm="1">
        <f t="array" ref="G20">1/INDEX($H$11:$AK$11, 1, ROW(A9))</f>
        <v>3</v>
      </c>
      <c r="H20" s="9" cm="1">
        <f t="array" ref="H20">1/INDEX($I$12:$AK$12, 1, ROW(A8))</f>
        <v>0.33333333333333331</v>
      </c>
      <c r="I20" s="9" cm="1">
        <f t="array" ref="I20">1/INDEX($J$13:$AK$13, 1, ROW(A7))</f>
        <v>0.5</v>
      </c>
      <c r="J20" s="14" cm="1">
        <f t="array" ref="J20">1/INDEX($K$14:$AK$14, 1, ROW(A6))</f>
        <v>0.5</v>
      </c>
      <c r="K20" s="14" cm="1">
        <f t="array" ref="K20">1/INDEX($L$15:$AK$15, 1, ROW(A5))</f>
        <v>0.5</v>
      </c>
      <c r="L20" s="14" cm="1">
        <f t="array" ref="L20">1/INDEX($M$16:$AK$16, 1, ROW(A4))</f>
        <v>2</v>
      </c>
      <c r="M20" s="14" cm="1">
        <f t="array" ref="M20">1/INDEX($N$17:$AK$17, 1, ROW(A3))</f>
        <v>2</v>
      </c>
      <c r="N20" s="14" cm="1">
        <f t="array" ref="N20">1/INDEX($O$18:$AK$18, 1, ROW(A2))</f>
        <v>1</v>
      </c>
      <c r="O20" s="14" cm="1">
        <f t="array" ref="O20">1/INDEX($P$19:$AK$19, 1, ROW(A1))</f>
        <v>1</v>
      </c>
      <c r="P20" s="4">
        <v>1</v>
      </c>
      <c r="Q20" s="6">
        <v>1</v>
      </c>
      <c r="R20" s="6">
        <v>2</v>
      </c>
      <c r="S20" s="6">
        <v>2</v>
      </c>
      <c r="T20" s="6">
        <v>1</v>
      </c>
      <c r="U20" s="6">
        <v>2</v>
      </c>
      <c r="V20" s="6">
        <v>1</v>
      </c>
      <c r="W20" s="6">
        <v>1</v>
      </c>
      <c r="X20" s="6">
        <v>1</v>
      </c>
      <c r="Y20" s="6">
        <v>1</v>
      </c>
      <c r="Z20" s="6">
        <v>1</v>
      </c>
      <c r="AA20" s="6">
        <v>1</v>
      </c>
      <c r="AB20" s="6">
        <v>1</v>
      </c>
      <c r="AC20" s="6">
        <v>1</v>
      </c>
      <c r="AD20" s="6">
        <v>1</v>
      </c>
      <c r="AE20" s="6">
        <v>1</v>
      </c>
      <c r="AF20" s="6">
        <v>1</v>
      </c>
      <c r="AG20" s="6">
        <v>1</v>
      </c>
      <c r="AH20" s="6">
        <v>1</v>
      </c>
      <c r="AI20" s="6">
        <v>1</v>
      </c>
      <c r="AJ20" s="6">
        <v>1</v>
      </c>
      <c r="AK20" s="6">
        <v>1</v>
      </c>
      <c r="AM20" s="14" t="str">
        <f t="shared" si="0"/>
        <v>Spill Water from Ground Assets</v>
      </c>
      <c r="AN20" s="6">
        <f t="shared" si="1"/>
        <v>3.1946995316219896E-2</v>
      </c>
      <c r="AP20" s="7">
        <f t="shared" si="4"/>
        <v>7.8534031413612551E-2</v>
      </c>
      <c r="AQ20" s="7">
        <f t="shared" si="5"/>
        <v>7.9999999999999984E-3</v>
      </c>
      <c r="AR20" s="7">
        <f t="shared" si="6"/>
        <v>1.3513513513513514E-2</v>
      </c>
      <c r="AS20" s="7">
        <f t="shared" si="7"/>
        <v>1.5856236786469347E-2</v>
      </c>
      <c r="AT20" s="7">
        <f t="shared" si="8"/>
        <v>1.5856236786469347E-2</v>
      </c>
      <c r="AU20" s="7">
        <f t="shared" si="9"/>
        <v>3.9840637450199202E-2</v>
      </c>
      <c r="AV20" s="7">
        <f t="shared" si="10"/>
        <v>4.2105263157894736E-2</v>
      </c>
      <c r="AW20" s="7">
        <f t="shared" si="11"/>
        <v>3.8461538461538464E-2</v>
      </c>
      <c r="AX20" s="7">
        <f t="shared" si="12"/>
        <v>3.3707865168539332E-2</v>
      </c>
      <c r="AY20" s="7">
        <f t="shared" si="13"/>
        <v>3.045685279187817E-2</v>
      </c>
      <c r="AZ20" s="7">
        <f t="shared" si="14"/>
        <v>3.5294117647058823E-2</v>
      </c>
      <c r="BA20" s="7">
        <f t="shared" si="15"/>
        <v>4.878048780487805E-2</v>
      </c>
      <c r="BB20" s="7">
        <f t="shared" si="16"/>
        <v>7.9734219269102999E-2</v>
      </c>
      <c r="BC20" s="7">
        <f t="shared" si="17"/>
        <v>3.7499999999999999E-2</v>
      </c>
      <c r="BD20" s="7">
        <f t="shared" si="18"/>
        <v>6.5573770491803282E-2</v>
      </c>
      <c r="BE20" s="7">
        <f t="shared" si="19"/>
        <v>2.0833333333333332E-2</v>
      </c>
      <c r="BF20" s="7">
        <f t="shared" si="20"/>
        <v>2.9850746268656716E-2</v>
      </c>
      <c r="BG20" s="7">
        <f t="shared" si="21"/>
        <v>4.2134831460674156E-2</v>
      </c>
      <c r="BH20" s="7">
        <f t="shared" si="22"/>
        <v>0.03</v>
      </c>
      <c r="BI20" s="7">
        <f t="shared" si="23"/>
        <v>2.2388059701492536E-2</v>
      </c>
      <c r="BJ20" s="7">
        <f t="shared" si="24"/>
        <v>2.7210884353741496E-2</v>
      </c>
      <c r="BK20" s="7">
        <f t="shared" si="25"/>
        <v>3.1990250590296296E-2</v>
      </c>
      <c r="BL20" s="7">
        <f t="shared" si="26"/>
        <v>3.1088082901554407E-2</v>
      </c>
      <c r="BM20" s="7">
        <f t="shared" si="27"/>
        <v>2.4691358024691357E-2</v>
      </c>
      <c r="BN20" s="7">
        <f t="shared" si="28"/>
        <v>3.0612244897959186E-2</v>
      </c>
      <c r="BO20" s="7">
        <f t="shared" si="29"/>
        <v>2.4193548387096774E-2</v>
      </c>
      <c r="BP20" s="7">
        <f t="shared" si="30"/>
        <v>2.3696682464454975E-2</v>
      </c>
      <c r="BQ20" s="7">
        <f t="shared" si="31"/>
        <v>1.779359430604982E-2</v>
      </c>
      <c r="BR20" s="7">
        <f t="shared" si="32"/>
        <v>1.5247776365946633E-2</v>
      </c>
      <c r="BS20" s="7">
        <f t="shared" si="33"/>
        <v>1.8461538461538463E-2</v>
      </c>
      <c r="BT20" s="7">
        <f t="shared" si="34"/>
        <v>1.6949152542372881E-2</v>
      </c>
    </row>
    <row r="21" spans="5:72" x14ac:dyDescent="0.25">
      <c r="E21" s="14" t="s">
        <v>22</v>
      </c>
      <c r="F21" s="15">
        <f t="shared" si="35"/>
        <v>3.3290764715895559E-2</v>
      </c>
      <c r="G21" s="9" cm="1">
        <f t="array" ref="G21">1/INDEX($H$11:$AK$11, 1, ROW(A10))</f>
        <v>1</v>
      </c>
      <c r="H21" s="9" cm="1">
        <f t="array" ref="H21">1/INDEX($I$12:$AK$12, 1, ROW(A9))</f>
        <v>1</v>
      </c>
      <c r="I21" s="9" cm="1">
        <f t="array" ref="I21">1/INDEX($J$13:$AK$13, 1, ROW(A8))</f>
        <v>1</v>
      </c>
      <c r="J21" s="14" cm="1">
        <f t="array" ref="J21">1/INDEX($K$14:$AK$14, 1, ROW(A7))</f>
        <v>1</v>
      </c>
      <c r="K21" s="14" cm="1">
        <f t="array" ref="K21">1/INDEX($L$15:$AK$15, 1, ROW(A6))</f>
        <v>1</v>
      </c>
      <c r="L21" s="14" cm="1">
        <f t="array" ref="L21">1/INDEX($M$16:$AK$16, 1, ROW(A5))</f>
        <v>2</v>
      </c>
      <c r="M21" s="14" cm="1">
        <f t="array" ref="M21">1/INDEX($N$17:$AK$17, 1, ROW(A4))</f>
        <v>2</v>
      </c>
      <c r="N21" s="14" cm="1">
        <f t="array" ref="N21">1/INDEX($O$18:$AK$18, 1, ROW(A3))</f>
        <v>1</v>
      </c>
      <c r="O21" s="14" cm="1">
        <f t="array" ref="O21">1/INDEX($P$19:$AK$19, 1, ROW(A2))</f>
        <v>1</v>
      </c>
      <c r="P21" s="14" cm="1">
        <f t="array" ref="P21">1/INDEX($Q$20:$AK$20, 1, ROW(A1))</f>
        <v>1</v>
      </c>
      <c r="Q21" s="4">
        <v>1</v>
      </c>
      <c r="R21" s="6">
        <v>2</v>
      </c>
      <c r="S21" s="6">
        <v>2</v>
      </c>
      <c r="T21" s="6">
        <v>1</v>
      </c>
      <c r="U21" s="6">
        <v>3</v>
      </c>
      <c r="V21" s="6">
        <v>1</v>
      </c>
      <c r="W21" s="6">
        <v>1</v>
      </c>
      <c r="X21" s="6">
        <v>1</v>
      </c>
      <c r="Y21" s="6">
        <v>1</v>
      </c>
      <c r="Z21" s="6">
        <v>1</v>
      </c>
      <c r="AA21" s="6">
        <v>1</v>
      </c>
      <c r="AB21" s="6">
        <v>1</v>
      </c>
      <c r="AC21" s="6">
        <v>1</v>
      </c>
      <c r="AD21" s="6">
        <v>1</v>
      </c>
      <c r="AE21" s="6">
        <v>1</v>
      </c>
      <c r="AF21" s="6">
        <v>1</v>
      </c>
      <c r="AG21" s="6">
        <v>1</v>
      </c>
      <c r="AH21" s="6">
        <v>1</v>
      </c>
      <c r="AI21" s="6">
        <v>1</v>
      </c>
      <c r="AJ21" s="6">
        <v>1</v>
      </c>
      <c r="AK21" s="6">
        <v>1</v>
      </c>
      <c r="AM21" s="14" t="str">
        <f t="shared" si="0"/>
        <v>Tactically Monitor Fires</v>
      </c>
      <c r="AN21" s="6">
        <f t="shared" si="1"/>
        <v>3.3290764715895559E-2</v>
      </c>
      <c r="AP21" s="7">
        <f t="shared" si="4"/>
        <v>2.6178010471204181E-2</v>
      </c>
      <c r="AQ21" s="7">
        <f t="shared" si="5"/>
        <v>2.3999999999999997E-2</v>
      </c>
      <c r="AR21" s="7">
        <f t="shared" si="6"/>
        <v>2.7027027027027029E-2</v>
      </c>
      <c r="AS21" s="7">
        <f t="shared" si="7"/>
        <v>3.1712473572938694E-2</v>
      </c>
      <c r="AT21" s="7">
        <f t="shared" si="8"/>
        <v>3.1712473572938694E-2</v>
      </c>
      <c r="AU21" s="7">
        <f t="shared" si="9"/>
        <v>3.9840637450199202E-2</v>
      </c>
      <c r="AV21" s="7">
        <f t="shared" si="10"/>
        <v>4.2105263157894736E-2</v>
      </c>
      <c r="AW21" s="7">
        <f t="shared" si="11"/>
        <v>3.8461538461538464E-2</v>
      </c>
      <c r="AX21" s="7">
        <f t="shared" si="12"/>
        <v>3.3707865168539332E-2</v>
      </c>
      <c r="AY21" s="7">
        <f t="shared" si="13"/>
        <v>3.045685279187817E-2</v>
      </c>
      <c r="AZ21" s="7">
        <f t="shared" si="14"/>
        <v>3.5294117647058823E-2</v>
      </c>
      <c r="BA21" s="7">
        <f t="shared" si="15"/>
        <v>4.878048780487805E-2</v>
      </c>
      <c r="BB21" s="7">
        <f t="shared" si="16"/>
        <v>7.9734219269102999E-2</v>
      </c>
      <c r="BC21" s="7">
        <f t="shared" si="17"/>
        <v>3.7499999999999999E-2</v>
      </c>
      <c r="BD21" s="7">
        <f t="shared" si="18"/>
        <v>9.8360655737704916E-2</v>
      </c>
      <c r="BE21" s="7">
        <f t="shared" si="19"/>
        <v>2.0833333333333332E-2</v>
      </c>
      <c r="BF21" s="7">
        <f t="shared" si="20"/>
        <v>2.9850746268656716E-2</v>
      </c>
      <c r="BG21" s="7">
        <f t="shared" si="21"/>
        <v>4.2134831460674156E-2</v>
      </c>
      <c r="BH21" s="7">
        <f t="shared" si="22"/>
        <v>0.03</v>
      </c>
      <c r="BI21" s="7">
        <f t="shared" si="23"/>
        <v>2.2388059701492536E-2</v>
      </c>
      <c r="BJ21" s="7">
        <f t="shared" si="24"/>
        <v>2.7210884353741496E-2</v>
      </c>
      <c r="BK21" s="7">
        <f t="shared" si="25"/>
        <v>3.1990250590296296E-2</v>
      </c>
      <c r="BL21" s="7">
        <f t="shared" si="26"/>
        <v>3.1088082901554407E-2</v>
      </c>
      <c r="BM21" s="7">
        <f t="shared" si="27"/>
        <v>2.4691358024691357E-2</v>
      </c>
      <c r="BN21" s="7">
        <f t="shared" si="28"/>
        <v>3.0612244897959186E-2</v>
      </c>
      <c r="BO21" s="7">
        <f t="shared" si="29"/>
        <v>2.4193548387096774E-2</v>
      </c>
      <c r="BP21" s="7">
        <f t="shared" si="30"/>
        <v>2.3696682464454975E-2</v>
      </c>
      <c r="BQ21" s="7">
        <f t="shared" si="31"/>
        <v>1.779359430604982E-2</v>
      </c>
      <c r="BR21" s="7">
        <f t="shared" si="32"/>
        <v>1.5247776365946633E-2</v>
      </c>
      <c r="BS21" s="7">
        <f t="shared" si="33"/>
        <v>1.8461538461538463E-2</v>
      </c>
      <c r="BT21" s="7">
        <f t="shared" si="34"/>
        <v>1.6949152542372881E-2</v>
      </c>
    </row>
    <row r="22" spans="5:72" x14ac:dyDescent="0.25">
      <c r="E22" s="14" t="s">
        <v>23</v>
      </c>
      <c r="F22" s="15">
        <f t="shared" si="35"/>
        <v>2.647911852620884E-2</v>
      </c>
      <c r="G22" s="9" cm="1">
        <f t="array" ref="G22">1/INDEX($H$11:$AK$11, 1, ROW(A11))</f>
        <v>2</v>
      </c>
      <c r="H22" s="9" cm="1">
        <f t="array" ref="H22">1/INDEX($I$12:$AK$12, 1, ROW(A10))</f>
        <v>2</v>
      </c>
      <c r="I22" s="9" cm="1">
        <f t="array" ref="I22">1/INDEX($J$13:$AK$13, 1, ROW(A9))</f>
        <v>2</v>
      </c>
      <c r="J22" s="14" cm="1">
        <f t="array" ref="J22">1/INDEX($K$14:$AK$14, 1, ROW(A8))</f>
        <v>1</v>
      </c>
      <c r="K22" s="14" cm="1">
        <f t="array" ref="K22">1/INDEX($L$15:$AK$15, 1, ROW(A7))</f>
        <v>1</v>
      </c>
      <c r="L22" s="14" cm="1">
        <f t="array" ref="L22">1/INDEX($M$16:$AK$16, 1, ROW(A6))</f>
        <v>1</v>
      </c>
      <c r="M22" s="14" cm="1">
        <f t="array" ref="M22">1/INDEX($N$17:$AK$17, 1, ROW(A5))</f>
        <v>1</v>
      </c>
      <c r="N22" s="14" cm="1">
        <f t="array" ref="N22">1/INDEX($O$18:$AK$18, 1, ROW(A4))</f>
        <v>1</v>
      </c>
      <c r="O22" s="14" cm="1">
        <f t="array" ref="O22">1/INDEX($P$19:$AK$19, 1, ROW(A3))</f>
        <v>0.5</v>
      </c>
      <c r="P22" s="14" cm="1">
        <f t="array" ref="P22">1/INDEX($Q$20:$AK$20, 1, ROW(A2))</f>
        <v>0.5</v>
      </c>
      <c r="Q22" s="14" cm="1">
        <f t="array" ref="Q22">1/INDEX($R$21:$AK$21, 1, ROW(A1))</f>
        <v>0.5</v>
      </c>
      <c r="R22" s="4">
        <v>1</v>
      </c>
      <c r="S22" s="6">
        <f>1*1/4</f>
        <v>0.25</v>
      </c>
      <c r="T22" s="6">
        <v>1</v>
      </c>
      <c r="U22" s="6">
        <v>1</v>
      </c>
      <c r="V22" s="6">
        <v>1</v>
      </c>
      <c r="W22" s="6">
        <v>1</v>
      </c>
      <c r="X22" s="6">
        <v>1</v>
      </c>
      <c r="Y22" s="6">
        <v>1</v>
      </c>
      <c r="Z22" s="6">
        <v>1</v>
      </c>
      <c r="AA22" s="6">
        <v>1</v>
      </c>
      <c r="AB22" s="6">
        <v>1</v>
      </c>
      <c r="AC22" s="6">
        <v>1</v>
      </c>
      <c r="AD22" s="6">
        <v>1</v>
      </c>
      <c r="AE22" s="6">
        <f>1*1/2</f>
        <v>0.5</v>
      </c>
      <c r="AF22" s="6">
        <f>1*1/2</f>
        <v>0.5</v>
      </c>
      <c r="AG22" s="6">
        <v>2</v>
      </c>
      <c r="AH22" s="6">
        <f>1*1/2</f>
        <v>0.5</v>
      </c>
      <c r="AI22" s="6">
        <f>1*1/2</f>
        <v>0.5</v>
      </c>
      <c r="AJ22" s="6">
        <f>1*1/2</f>
        <v>0.5</v>
      </c>
      <c r="AK22" s="6">
        <f>1*1/2</f>
        <v>0.5</v>
      </c>
      <c r="AM22" s="14" t="str">
        <f t="shared" si="0"/>
        <v>Predict New Fires</v>
      </c>
      <c r="AN22" s="6">
        <f t="shared" si="1"/>
        <v>2.647911852620884E-2</v>
      </c>
      <c r="AP22" s="7">
        <f t="shared" ref="AP22:AP41" si="36">G22/SUM(G$11:G$41)</f>
        <v>5.2356020942408363E-2</v>
      </c>
      <c r="AQ22" s="7">
        <f t="shared" ref="AQ22:AQ41" si="37">H22/SUM(H$11:H$41)</f>
        <v>4.7999999999999994E-2</v>
      </c>
      <c r="AR22" s="7">
        <f t="shared" ref="AR22:AR41" si="38">I22/SUM(I$11:I$41)</f>
        <v>5.4054054054054057E-2</v>
      </c>
      <c r="AS22" s="7">
        <f t="shared" ref="AS22:AS41" si="39">J22/SUM(J$11:J$41)</f>
        <v>3.1712473572938694E-2</v>
      </c>
      <c r="AT22" s="7">
        <f t="shared" ref="AT22:AT41" si="40">K22/SUM(K$11:K$41)</f>
        <v>3.1712473572938694E-2</v>
      </c>
      <c r="AU22" s="7">
        <f t="shared" ref="AU22:AU41" si="41">L22/SUM(L$11:L$41)</f>
        <v>1.9920318725099601E-2</v>
      </c>
      <c r="AV22" s="7">
        <f t="shared" ref="AV22:AV41" si="42">M22/SUM(M$11:M$41)</f>
        <v>2.1052631578947368E-2</v>
      </c>
      <c r="AW22" s="7">
        <f t="shared" ref="AW22:AW41" si="43">N22/SUM(N$11:N$41)</f>
        <v>3.8461538461538464E-2</v>
      </c>
      <c r="AX22" s="7">
        <f t="shared" ref="AX22:AX41" si="44">O22/SUM(O$11:O$41)</f>
        <v>1.6853932584269666E-2</v>
      </c>
      <c r="AY22" s="7">
        <f t="shared" ref="AY22:AY41" si="45">P22/SUM(P$11:P$41)</f>
        <v>1.5228426395939085E-2</v>
      </c>
      <c r="AZ22" s="7">
        <f t="shared" ref="AZ22:AZ41" si="46">Q22/SUM(Q$11:Q$41)</f>
        <v>1.7647058823529412E-2</v>
      </c>
      <c r="BA22" s="7">
        <f t="shared" ref="BA22:BA41" si="47">R22/SUM(R$11:R$41)</f>
        <v>2.4390243902439025E-2</v>
      </c>
      <c r="BB22" s="7">
        <f t="shared" ref="BB22:BB41" si="48">S22/SUM(S$11:S$41)</f>
        <v>9.9667774086378749E-3</v>
      </c>
      <c r="BC22" s="7">
        <f t="shared" ref="BC22:BC41" si="49">T22/SUM(T$11:T$41)</f>
        <v>3.7499999999999999E-2</v>
      </c>
      <c r="BD22" s="7">
        <f t="shared" ref="BD22:BD41" si="50">U22/SUM(U$11:U$41)</f>
        <v>3.2786885245901641E-2</v>
      </c>
      <c r="BE22" s="7">
        <f t="shared" ref="BE22:BE41" si="51">V22/SUM(V$11:V$41)</f>
        <v>2.0833333333333332E-2</v>
      </c>
      <c r="BF22" s="7">
        <f t="shared" ref="BF22:BF41" si="52">W22/SUM(W$11:W$41)</f>
        <v>2.9850746268656716E-2</v>
      </c>
      <c r="BG22" s="7">
        <f t="shared" ref="BG22:BG41" si="53">X22/SUM(X$11:X$41)</f>
        <v>4.2134831460674156E-2</v>
      </c>
      <c r="BH22" s="7">
        <f t="shared" ref="BH22:BH41" si="54">Y22/SUM(Y$11:Y$41)</f>
        <v>0.03</v>
      </c>
      <c r="BI22" s="7">
        <f t="shared" ref="BI22:BI41" si="55">Z22/SUM(Z$11:Z$41)</f>
        <v>2.2388059701492536E-2</v>
      </c>
      <c r="BJ22" s="7">
        <f t="shared" ref="BJ22:BJ41" si="56">AA22/SUM(AA$11:AA$41)</f>
        <v>2.7210884353741496E-2</v>
      </c>
      <c r="BK22" s="7">
        <f t="shared" ref="BK22:BK41" si="57">AB22/SUM(AB$11:AB$41)</f>
        <v>3.1990250590296296E-2</v>
      </c>
      <c r="BL22" s="7">
        <f t="shared" ref="BL22:BL41" si="58">AC22/SUM(AC$11:AC$41)</f>
        <v>3.1088082901554407E-2</v>
      </c>
      <c r="BM22" s="7">
        <f t="shared" ref="BM22:BM41" si="59">AD22/SUM(AD$11:AD$41)</f>
        <v>2.4691358024691357E-2</v>
      </c>
      <c r="BN22" s="7">
        <f t="shared" ref="BN22:BN41" si="60">AE22/SUM(AE$11:AE$41)</f>
        <v>1.5306122448979593E-2</v>
      </c>
      <c r="BO22" s="7">
        <f t="shared" ref="BO22:BO41" si="61">AF22/SUM(AF$11:AF$41)</f>
        <v>1.2096774193548387E-2</v>
      </c>
      <c r="BP22" s="7">
        <f t="shared" ref="BP22:BP41" si="62">AG22/SUM(AG$11:AG$41)</f>
        <v>4.7393364928909949E-2</v>
      </c>
      <c r="BQ22" s="7">
        <f t="shared" ref="BQ22:BQ41" si="63">AH22/SUM(AH$11:AH$41)</f>
        <v>8.8967971530249101E-3</v>
      </c>
      <c r="BR22" s="7">
        <f t="shared" ref="BR22:BR41" si="64">AI22/SUM(AI$11:AI$41)</f>
        <v>7.6238881829733167E-3</v>
      </c>
      <c r="BS22" s="7">
        <f t="shared" ref="BS22:BS41" si="65">AJ22/SUM(AJ$11:AJ$41)</f>
        <v>9.2307692307692316E-3</v>
      </c>
      <c r="BT22" s="7">
        <f t="shared" ref="BT22:BT41" si="66">AK22/SUM(AK$11:AK$41)</f>
        <v>8.4745762711864406E-3</v>
      </c>
    </row>
    <row r="23" spans="5:72" x14ac:dyDescent="0.25">
      <c r="E23" s="14" t="s">
        <v>24</v>
      </c>
      <c r="F23" s="15">
        <f t="shared" si="35"/>
        <v>4.1210308517620045E-2</v>
      </c>
      <c r="G23" s="9" cm="1">
        <f t="array" ref="G23">1/INDEX($H$11:$AK$11, 1, ROW(A12))</f>
        <v>2</v>
      </c>
      <c r="H23" s="9" cm="1">
        <f t="array" ref="H23">1/INDEX($I$12:$AK$12, 1, ROW(A11))</f>
        <v>2</v>
      </c>
      <c r="I23" s="9" cm="1">
        <f t="array" ref="I23">1/INDEX($J$13:$AK$13, 1, ROW(A10))</f>
        <v>3</v>
      </c>
      <c r="J23" s="14" cm="1">
        <f t="array" ref="J23">1/INDEX($K$14:$AK$14, 1, ROW(A9))</f>
        <v>1</v>
      </c>
      <c r="K23" s="14" cm="1">
        <f t="array" ref="K23">1/INDEX($L$15:$AK$15, 1, ROW(A8))</f>
        <v>1</v>
      </c>
      <c r="L23" s="14" cm="1">
        <f t="array" ref="L23">1/INDEX($M$16:$AK$16, 1, ROW(A7))</f>
        <v>1</v>
      </c>
      <c r="M23" s="14" cm="1">
        <f t="array" ref="M23">1/INDEX($N$17:$AK$17, 1, ROW(A6))</f>
        <v>1</v>
      </c>
      <c r="N23" s="14" cm="1">
        <f t="array" ref="N23">1/INDEX($O$18:$AK$18, 1, ROW(A5))</f>
        <v>1</v>
      </c>
      <c r="O23" s="14" cm="1">
        <f t="array" ref="O23">1/INDEX($P$19:$AK$19, 1, ROW(A4))</f>
        <v>2</v>
      </c>
      <c r="P23" s="14" cm="1">
        <f t="array" ref="P23">1/INDEX($Q$20:$AK$20, 1, ROW(A3))</f>
        <v>0.5</v>
      </c>
      <c r="Q23" s="14" cm="1">
        <f t="array" ref="Q23">1/INDEX($R$21:$AK$21, 1, ROW(A2))</f>
        <v>0.5</v>
      </c>
      <c r="R23" s="14" cm="1">
        <f t="array" ref="R23">1/INDEX($S$22:$AK$22, 1, ROW(A1))</f>
        <v>4</v>
      </c>
      <c r="S23" s="4">
        <v>1</v>
      </c>
      <c r="T23" s="6">
        <v>2</v>
      </c>
      <c r="U23" s="6">
        <v>2</v>
      </c>
      <c r="V23" s="6">
        <v>2</v>
      </c>
      <c r="W23" s="6">
        <v>1</v>
      </c>
      <c r="X23" s="6">
        <v>1</v>
      </c>
      <c r="Y23" s="6">
        <v>1</v>
      </c>
      <c r="Z23" s="6">
        <v>1</v>
      </c>
      <c r="AA23" s="6">
        <v>1</v>
      </c>
      <c r="AB23" s="6">
        <v>1</v>
      </c>
      <c r="AC23" s="6">
        <v>1</v>
      </c>
      <c r="AD23" s="6">
        <v>1</v>
      </c>
      <c r="AE23" s="6">
        <v>2</v>
      </c>
      <c r="AF23" s="6">
        <v>2</v>
      </c>
      <c r="AG23" s="6">
        <v>2</v>
      </c>
      <c r="AH23" s="6">
        <v>2</v>
      </c>
      <c r="AI23" s="6">
        <v>2</v>
      </c>
      <c r="AJ23" s="6">
        <v>2</v>
      </c>
      <c r="AK23" s="6">
        <v>2</v>
      </c>
      <c r="AM23" s="14" t="str">
        <f t="shared" si="0"/>
        <v>Detect Fires</v>
      </c>
      <c r="AN23" s="6">
        <f t="shared" si="1"/>
        <v>4.1210308517620045E-2</v>
      </c>
      <c r="AP23" s="7">
        <f t="shared" si="36"/>
        <v>5.2356020942408363E-2</v>
      </c>
      <c r="AQ23" s="7">
        <f t="shared" si="37"/>
        <v>4.7999999999999994E-2</v>
      </c>
      <c r="AR23" s="7">
        <f t="shared" si="38"/>
        <v>8.1081081081081086E-2</v>
      </c>
      <c r="AS23" s="7">
        <f t="shared" si="39"/>
        <v>3.1712473572938694E-2</v>
      </c>
      <c r="AT23" s="7">
        <f t="shared" si="40"/>
        <v>3.1712473572938694E-2</v>
      </c>
      <c r="AU23" s="7">
        <f t="shared" si="41"/>
        <v>1.9920318725099601E-2</v>
      </c>
      <c r="AV23" s="7">
        <f t="shared" si="42"/>
        <v>2.1052631578947368E-2</v>
      </c>
      <c r="AW23" s="7">
        <f t="shared" si="43"/>
        <v>3.8461538461538464E-2</v>
      </c>
      <c r="AX23" s="7">
        <f t="shared" si="44"/>
        <v>6.7415730337078664E-2</v>
      </c>
      <c r="AY23" s="7">
        <f t="shared" si="45"/>
        <v>1.5228426395939085E-2</v>
      </c>
      <c r="AZ23" s="7">
        <f t="shared" si="46"/>
        <v>1.7647058823529412E-2</v>
      </c>
      <c r="BA23" s="7">
        <f t="shared" si="47"/>
        <v>9.7560975609756101E-2</v>
      </c>
      <c r="BB23" s="7">
        <f t="shared" si="48"/>
        <v>3.9867109634551499E-2</v>
      </c>
      <c r="BC23" s="7">
        <f t="shared" si="49"/>
        <v>7.4999999999999997E-2</v>
      </c>
      <c r="BD23" s="7">
        <f t="shared" si="50"/>
        <v>6.5573770491803282E-2</v>
      </c>
      <c r="BE23" s="7">
        <f t="shared" si="51"/>
        <v>4.1666666666666664E-2</v>
      </c>
      <c r="BF23" s="7">
        <f t="shared" si="52"/>
        <v>2.9850746268656716E-2</v>
      </c>
      <c r="BG23" s="7">
        <f t="shared" si="53"/>
        <v>4.2134831460674156E-2</v>
      </c>
      <c r="BH23" s="7">
        <f t="shared" si="54"/>
        <v>0.03</v>
      </c>
      <c r="BI23" s="7">
        <f t="shared" si="55"/>
        <v>2.2388059701492536E-2</v>
      </c>
      <c r="BJ23" s="7">
        <f t="shared" si="56"/>
        <v>2.7210884353741496E-2</v>
      </c>
      <c r="BK23" s="7">
        <f t="shared" si="57"/>
        <v>3.1990250590296296E-2</v>
      </c>
      <c r="BL23" s="7">
        <f t="shared" si="58"/>
        <v>3.1088082901554407E-2</v>
      </c>
      <c r="BM23" s="7">
        <f t="shared" si="59"/>
        <v>2.4691358024691357E-2</v>
      </c>
      <c r="BN23" s="7">
        <f t="shared" si="60"/>
        <v>6.1224489795918373E-2</v>
      </c>
      <c r="BO23" s="7">
        <f t="shared" si="61"/>
        <v>4.8387096774193547E-2</v>
      </c>
      <c r="BP23" s="7">
        <f t="shared" si="62"/>
        <v>4.7393364928909949E-2</v>
      </c>
      <c r="BQ23" s="7">
        <f t="shared" si="63"/>
        <v>3.5587188612099641E-2</v>
      </c>
      <c r="BR23" s="7">
        <f t="shared" si="64"/>
        <v>3.0495552731893267E-2</v>
      </c>
      <c r="BS23" s="7">
        <f t="shared" si="65"/>
        <v>3.6923076923076927E-2</v>
      </c>
      <c r="BT23" s="7">
        <f t="shared" si="66"/>
        <v>3.3898305084745763E-2</v>
      </c>
    </row>
    <row r="24" spans="5:72" x14ac:dyDescent="0.25">
      <c r="E24" s="14" t="s">
        <v>25</v>
      </c>
      <c r="F24" s="15">
        <f t="shared" si="35"/>
        <v>3.7248096380557004E-2</v>
      </c>
      <c r="G24" s="9" cm="1">
        <f t="array" ref="G24">1/INDEX($H$11:$AK$11, 1, ROW(A13))</f>
        <v>0.5</v>
      </c>
      <c r="H24" s="9" cm="1">
        <f t="array" ref="H24">1/INDEX($I$12:$AK$12, 1, ROW(A12))</f>
        <v>3</v>
      </c>
      <c r="I24" s="9" cm="1">
        <f t="array" ref="I24">1/INDEX($J$13:$AK$13, 1, ROW(A11))</f>
        <v>2</v>
      </c>
      <c r="J24" s="14" cm="1">
        <f t="array" ref="J24">1/INDEX($K$14:$AK$14, 1, ROW(A10))</f>
        <v>2</v>
      </c>
      <c r="K24" s="14" cm="1">
        <f t="array" ref="K24">1/INDEX($L$15:$AK$15, 1, ROW(A9))</f>
        <v>2</v>
      </c>
      <c r="L24" s="14" cm="1">
        <f t="array" ref="L24">1/INDEX($M$16:$AK$16, 1, ROW(A8))</f>
        <v>1</v>
      </c>
      <c r="M24" s="14" cm="1">
        <f t="array" ref="M24">1/INDEX($N$17:$AK$17, 1, ROW(A7))</f>
        <v>2</v>
      </c>
      <c r="N24" s="14" cm="1">
        <f t="array" ref="N24">1/INDEX($O$18:$AK$18, 1, ROW(A6))</f>
        <v>1</v>
      </c>
      <c r="O24" s="14" cm="1">
        <f t="array" ref="O24">1/INDEX($P$19:$AK$19, 1, ROW(A5))</f>
        <v>2</v>
      </c>
      <c r="P24" s="14" cm="1">
        <f t="array" ref="P24">1/INDEX($Q$20:$AK$20, 1, ROW(A4))</f>
        <v>1</v>
      </c>
      <c r="Q24" s="14" cm="1">
        <f t="array" ref="Q24">1/INDEX($R$21:$AK$21, 1, ROW(A3))</f>
        <v>1</v>
      </c>
      <c r="R24" s="14" cm="1">
        <f t="array" ref="R24">1/INDEX($S$22:$AK$22, 1, ROW(A2))</f>
        <v>1</v>
      </c>
      <c r="S24" s="14" cm="1">
        <f t="array" ref="S24">1/INDEX($T$23:$AK$23, 1, ROW(A1))</f>
        <v>0.5</v>
      </c>
      <c r="T24" s="4">
        <v>1</v>
      </c>
      <c r="U24" s="6">
        <v>1</v>
      </c>
      <c r="V24" s="6">
        <v>1</v>
      </c>
      <c r="W24" s="6">
        <v>1</v>
      </c>
      <c r="X24" s="6">
        <v>1</v>
      </c>
      <c r="Y24" s="6">
        <v>1</v>
      </c>
      <c r="Z24" s="6">
        <v>1</v>
      </c>
      <c r="AA24" s="6">
        <v>1</v>
      </c>
      <c r="AB24" s="6">
        <v>1</v>
      </c>
      <c r="AC24" s="6">
        <v>1</v>
      </c>
      <c r="AD24" s="6">
        <v>1</v>
      </c>
      <c r="AE24" s="6">
        <v>1</v>
      </c>
      <c r="AF24" s="6">
        <v>2</v>
      </c>
      <c r="AG24" s="6">
        <v>2</v>
      </c>
      <c r="AH24" s="6">
        <v>2</v>
      </c>
      <c r="AI24" s="6">
        <v>2</v>
      </c>
      <c r="AJ24" s="6">
        <v>2</v>
      </c>
      <c r="AK24" s="6">
        <v>3</v>
      </c>
      <c r="AM24" s="14" t="str">
        <f t="shared" si="0"/>
        <v>Visually Confirm Fires</v>
      </c>
      <c r="AN24" s="6">
        <f t="shared" si="1"/>
        <v>3.7248096380557004E-2</v>
      </c>
      <c r="AP24" s="7">
        <f t="shared" si="36"/>
        <v>1.3089005235602091E-2</v>
      </c>
      <c r="AQ24" s="7">
        <f t="shared" si="37"/>
        <v>7.1999999999999995E-2</v>
      </c>
      <c r="AR24" s="7">
        <f t="shared" si="38"/>
        <v>5.4054054054054057E-2</v>
      </c>
      <c r="AS24" s="7">
        <f t="shared" si="39"/>
        <v>6.3424947145877389E-2</v>
      </c>
      <c r="AT24" s="7">
        <f t="shared" si="40"/>
        <v>6.3424947145877389E-2</v>
      </c>
      <c r="AU24" s="7">
        <f t="shared" si="41"/>
        <v>1.9920318725099601E-2</v>
      </c>
      <c r="AV24" s="7">
        <f t="shared" si="42"/>
        <v>4.2105263157894736E-2</v>
      </c>
      <c r="AW24" s="7">
        <f t="shared" si="43"/>
        <v>3.8461538461538464E-2</v>
      </c>
      <c r="AX24" s="7">
        <f t="shared" si="44"/>
        <v>6.7415730337078664E-2</v>
      </c>
      <c r="AY24" s="7">
        <f t="shared" si="45"/>
        <v>3.045685279187817E-2</v>
      </c>
      <c r="AZ24" s="7">
        <f t="shared" si="46"/>
        <v>3.5294117647058823E-2</v>
      </c>
      <c r="BA24" s="7">
        <f t="shared" si="47"/>
        <v>2.4390243902439025E-2</v>
      </c>
      <c r="BB24" s="7">
        <f t="shared" si="48"/>
        <v>1.993355481727575E-2</v>
      </c>
      <c r="BC24" s="7">
        <f t="shared" si="49"/>
        <v>3.7499999999999999E-2</v>
      </c>
      <c r="BD24" s="7">
        <f t="shared" si="50"/>
        <v>3.2786885245901641E-2</v>
      </c>
      <c r="BE24" s="7">
        <f t="shared" si="51"/>
        <v>2.0833333333333332E-2</v>
      </c>
      <c r="BF24" s="7">
        <f t="shared" si="52"/>
        <v>2.9850746268656716E-2</v>
      </c>
      <c r="BG24" s="7">
        <f t="shared" si="53"/>
        <v>4.2134831460674156E-2</v>
      </c>
      <c r="BH24" s="7">
        <f t="shared" si="54"/>
        <v>0.03</v>
      </c>
      <c r="BI24" s="7">
        <f t="shared" si="55"/>
        <v>2.2388059701492536E-2</v>
      </c>
      <c r="BJ24" s="7">
        <f t="shared" si="56"/>
        <v>2.7210884353741496E-2</v>
      </c>
      <c r="BK24" s="7">
        <f t="shared" si="57"/>
        <v>3.1990250590296296E-2</v>
      </c>
      <c r="BL24" s="7">
        <f t="shared" si="58"/>
        <v>3.1088082901554407E-2</v>
      </c>
      <c r="BM24" s="7">
        <f t="shared" si="59"/>
        <v>2.4691358024691357E-2</v>
      </c>
      <c r="BN24" s="7">
        <f t="shared" si="60"/>
        <v>3.0612244897959186E-2</v>
      </c>
      <c r="BO24" s="7">
        <f t="shared" si="61"/>
        <v>4.8387096774193547E-2</v>
      </c>
      <c r="BP24" s="7">
        <f t="shared" si="62"/>
        <v>4.7393364928909949E-2</v>
      </c>
      <c r="BQ24" s="7">
        <f t="shared" si="63"/>
        <v>3.5587188612099641E-2</v>
      </c>
      <c r="BR24" s="7">
        <f t="shared" si="64"/>
        <v>3.0495552731893267E-2</v>
      </c>
      <c r="BS24" s="7">
        <f t="shared" si="65"/>
        <v>3.6923076923076927E-2</v>
      </c>
      <c r="BT24" s="7">
        <f t="shared" si="66"/>
        <v>5.0847457627118647E-2</v>
      </c>
    </row>
    <row r="25" spans="5:72" x14ac:dyDescent="0.25">
      <c r="E25" s="14" t="s">
        <v>26</v>
      </c>
      <c r="F25" s="15">
        <f t="shared" si="35"/>
        <v>3.7095432935786217E-2</v>
      </c>
      <c r="G25" s="9" cm="1">
        <f t="array" ref="G25">1/INDEX($H$11:$AK$11, 1, ROW(A14))</f>
        <v>2</v>
      </c>
      <c r="H25" s="9" cm="1">
        <f t="array" ref="H25">1/INDEX($I$12:$AK$12, 1, ROW(A13))</f>
        <v>2</v>
      </c>
      <c r="I25" s="9" cm="1">
        <f t="array" ref="I25">1/INDEX($J$13:$AK$13, 1, ROW(A12))</f>
        <v>2</v>
      </c>
      <c r="J25" s="14" cm="1">
        <f t="array" ref="J25">1/INDEX($K$14:$AK$14, 1, ROW(A11))</f>
        <v>1</v>
      </c>
      <c r="K25" s="14" cm="1">
        <f t="array" ref="K25">1/INDEX($L$15:$AK$15, 1, ROW(A10))</f>
        <v>1</v>
      </c>
      <c r="L25" s="14" cm="1">
        <f t="array" ref="L25">1/INDEX($M$16:$AK$16, 1, ROW(A9))</f>
        <v>1</v>
      </c>
      <c r="M25" s="14" cm="1">
        <f t="array" ref="M25">1/INDEX($N$17:$AK$17, 1, ROW(A8))</f>
        <v>1</v>
      </c>
      <c r="N25" s="14" cm="1">
        <f t="array" ref="N25">1/INDEX($O$18:$AK$18, 1, ROW(A7))</f>
        <v>1</v>
      </c>
      <c r="O25" s="14" cm="1">
        <f t="array" ref="O25">1/INDEX($P$19:$AK$19, 1, ROW(A6))</f>
        <v>1</v>
      </c>
      <c r="P25" s="14" cm="1">
        <f t="array" ref="P25">1/INDEX($Q$20:$AK$20, 1, ROW(A5))</f>
        <v>0.5</v>
      </c>
      <c r="Q25" s="14" cm="1">
        <f t="array" ref="Q25">1/INDEX($R$21:$AK$21, 1, ROW(A4))</f>
        <v>0.33333333333333331</v>
      </c>
      <c r="R25" s="14" cm="1">
        <f t="array" ref="R25">1/INDEX($S$22:$AK$22, 1, ROW(A3))</f>
        <v>1</v>
      </c>
      <c r="S25" s="14" cm="1">
        <f t="array" ref="S25">1/INDEX($T$23:$AK$23, 1, ROW(A2))</f>
        <v>0.5</v>
      </c>
      <c r="T25" s="14" cm="1">
        <f t="array" ref="T25">1/INDEX($U$24:$AK$24, 1, ROW(A1))</f>
        <v>1</v>
      </c>
      <c r="U25" s="4">
        <v>1</v>
      </c>
      <c r="V25" s="6">
        <f>1/2</f>
        <v>0.5</v>
      </c>
      <c r="W25" s="6">
        <v>2</v>
      </c>
      <c r="X25" s="6">
        <v>2</v>
      </c>
      <c r="Y25" s="6">
        <v>2</v>
      </c>
      <c r="Z25" s="6">
        <v>2</v>
      </c>
      <c r="AA25" s="6">
        <v>2</v>
      </c>
      <c r="AB25" s="6">
        <v>2</v>
      </c>
      <c r="AC25" s="6">
        <v>2</v>
      </c>
      <c r="AD25" s="6">
        <v>2</v>
      </c>
      <c r="AE25" s="6">
        <f>1/2</f>
        <v>0.5</v>
      </c>
      <c r="AF25" s="6">
        <v>1</v>
      </c>
      <c r="AG25" s="6">
        <f>1/2</f>
        <v>0.5</v>
      </c>
      <c r="AH25" s="6">
        <v>2</v>
      </c>
      <c r="AI25" s="6">
        <v>2</v>
      </c>
      <c r="AJ25" s="6">
        <v>2</v>
      </c>
      <c r="AK25" s="6">
        <v>2</v>
      </c>
      <c r="AM25" s="14" t="str">
        <f t="shared" si="0"/>
        <v>Predict Fire Paths/Behavior</v>
      </c>
      <c r="AN25" s="6">
        <f t="shared" si="1"/>
        <v>3.7095432935786217E-2</v>
      </c>
      <c r="AP25" s="7">
        <f t="shared" si="36"/>
        <v>5.2356020942408363E-2</v>
      </c>
      <c r="AQ25" s="7">
        <f t="shared" si="37"/>
        <v>4.7999999999999994E-2</v>
      </c>
      <c r="AR25" s="7">
        <f t="shared" si="38"/>
        <v>5.4054054054054057E-2</v>
      </c>
      <c r="AS25" s="7">
        <f t="shared" si="39"/>
        <v>3.1712473572938694E-2</v>
      </c>
      <c r="AT25" s="7">
        <f t="shared" si="40"/>
        <v>3.1712473572938694E-2</v>
      </c>
      <c r="AU25" s="7">
        <f t="shared" si="41"/>
        <v>1.9920318725099601E-2</v>
      </c>
      <c r="AV25" s="7">
        <f t="shared" si="42"/>
        <v>2.1052631578947368E-2</v>
      </c>
      <c r="AW25" s="7">
        <f t="shared" si="43"/>
        <v>3.8461538461538464E-2</v>
      </c>
      <c r="AX25" s="7">
        <f t="shared" si="44"/>
        <v>3.3707865168539332E-2</v>
      </c>
      <c r="AY25" s="7">
        <f t="shared" si="45"/>
        <v>1.5228426395939085E-2</v>
      </c>
      <c r="AZ25" s="7">
        <f t="shared" si="46"/>
        <v>1.1764705882352939E-2</v>
      </c>
      <c r="BA25" s="7">
        <f t="shared" si="47"/>
        <v>2.4390243902439025E-2</v>
      </c>
      <c r="BB25" s="7">
        <f t="shared" si="48"/>
        <v>1.993355481727575E-2</v>
      </c>
      <c r="BC25" s="7">
        <f t="shared" si="49"/>
        <v>3.7499999999999999E-2</v>
      </c>
      <c r="BD25" s="7">
        <f t="shared" si="50"/>
        <v>3.2786885245901641E-2</v>
      </c>
      <c r="BE25" s="7">
        <f t="shared" si="51"/>
        <v>1.0416666666666666E-2</v>
      </c>
      <c r="BF25" s="7">
        <f t="shared" si="52"/>
        <v>5.9701492537313432E-2</v>
      </c>
      <c r="BG25" s="7">
        <f t="shared" si="53"/>
        <v>8.4269662921348312E-2</v>
      </c>
      <c r="BH25" s="7">
        <f t="shared" si="54"/>
        <v>0.06</v>
      </c>
      <c r="BI25" s="7">
        <f t="shared" si="55"/>
        <v>4.4776119402985072E-2</v>
      </c>
      <c r="BJ25" s="7">
        <f t="shared" si="56"/>
        <v>5.4421768707482991E-2</v>
      </c>
      <c r="BK25" s="7">
        <f t="shared" si="57"/>
        <v>6.3980501180592592E-2</v>
      </c>
      <c r="BL25" s="7">
        <f t="shared" si="58"/>
        <v>6.2176165803108814E-2</v>
      </c>
      <c r="BM25" s="7">
        <f t="shared" si="59"/>
        <v>4.9382716049382713E-2</v>
      </c>
      <c r="BN25" s="7">
        <f t="shared" si="60"/>
        <v>1.5306122448979593E-2</v>
      </c>
      <c r="BO25" s="7">
        <f t="shared" si="61"/>
        <v>2.4193548387096774E-2</v>
      </c>
      <c r="BP25" s="7">
        <f t="shared" si="62"/>
        <v>1.1848341232227487E-2</v>
      </c>
      <c r="BQ25" s="7">
        <f t="shared" si="63"/>
        <v>3.5587188612099641E-2</v>
      </c>
      <c r="BR25" s="7">
        <f t="shared" si="64"/>
        <v>3.0495552731893267E-2</v>
      </c>
      <c r="BS25" s="7">
        <f t="shared" si="65"/>
        <v>3.6923076923076927E-2</v>
      </c>
      <c r="BT25" s="7">
        <f t="shared" si="66"/>
        <v>3.3898305084745763E-2</v>
      </c>
    </row>
    <row r="26" spans="5:72" x14ac:dyDescent="0.25">
      <c r="E26" s="14" t="s">
        <v>27</v>
      </c>
      <c r="F26" s="15">
        <f t="shared" si="35"/>
        <v>2.7178717276858052E-2</v>
      </c>
      <c r="G26" s="9" cm="1">
        <f t="array" ref="G26">1/INDEX($H$11:$AK$11, 1, ROW(A15))</f>
        <v>1</v>
      </c>
      <c r="H26" s="9" cm="1">
        <f t="array" ref="H26">1/INDEX($I$12:$AK$12, 1, ROW(A14))</f>
        <v>2</v>
      </c>
      <c r="I26" s="9" cm="1">
        <f t="array" ref="I26">1/INDEX($J$13:$AK$13, 1, ROW(A13))</f>
        <v>1</v>
      </c>
      <c r="J26" s="14" cm="1">
        <f t="array" ref="J26">1/INDEX($K$14:$AK$14, 1, ROW(A12))</f>
        <v>1</v>
      </c>
      <c r="K26" s="14" cm="1">
        <f t="array" ref="K26">1/INDEX($L$15:$AK$15, 1, ROW(A11))</f>
        <v>1</v>
      </c>
      <c r="L26" s="14" cm="1">
        <f t="array" ref="L26">1/INDEX($M$16:$AK$16, 1, ROW(A10))</f>
        <v>1</v>
      </c>
      <c r="M26" s="14" cm="1">
        <f t="array" ref="M26">1/INDEX($N$17:$AK$17, 1, ROW(A9))</f>
        <v>1</v>
      </c>
      <c r="N26" s="14" cm="1">
        <f t="array" ref="N26">1/INDEX($O$18:$AK$18, 1, ROW(A8))</f>
        <v>1</v>
      </c>
      <c r="O26" s="14" cm="1">
        <f t="array" ref="O26">1/INDEX($P$19:$AK$19, 1, ROW(A7))</f>
        <v>1</v>
      </c>
      <c r="P26" s="14" cm="1">
        <f t="array" ref="P26">1/INDEX($Q$20:$AK$20, 1, ROW(A6))</f>
        <v>1</v>
      </c>
      <c r="Q26" s="14" cm="1">
        <f t="array" ref="Q26">1/INDEX($R$21:$AK$21, 1, ROW(A5))</f>
        <v>1</v>
      </c>
      <c r="R26" s="14" cm="1">
        <f t="array" ref="R26">1/INDEX($S$22:$AK$22, 1, ROW(A4))</f>
        <v>1</v>
      </c>
      <c r="S26" s="14" cm="1">
        <f t="array" ref="S26">1/INDEX($T$23:$AK$23, 1, ROW(A3))</f>
        <v>0.5</v>
      </c>
      <c r="T26" s="14" cm="1">
        <f t="array" ref="T26">1/INDEX($U$24:$AK$24, 1, ROW(A2))</f>
        <v>1</v>
      </c>
      <c r="U26" s="14" cm="1">
        <f t="array" ref="U26">1/INDEX($V$25:$AK$25, 1, ROW(A1))</f>
        <v>2</v>
      </c>
      <c r="V26" s="4">
        <v>1</v>
      </c>
      <c r="W26" s="6">
        <v>2</v>
      </c>
      <c r="X26" s="6">
        <v>2</v>
      </c>
      <c r="Y26" s="6">
        <f>1/2</f>
        <v>0.5</v>
      </c>
      <c r="Z26" s="6">
        <f>1/3</f>
        <v>0.33333333333333331</v>
      </c>
      <c r="AA26" s="6">
        <f>1/3</f>
        <v>0.33333333333333331</v>
      </c>
      <c r="AB26" s="6">
        <v>1</v>
      </c>
      <c r="AC26" s="6">
        <v>1</v>
      </c>
      <c r="AD26" s="6">
        <v>1</v>
      </c>
      <c r="AE26" s="6">
        <f>1/2</f>
        <v>0.5</v>
      </c>
      <c r="AF26" s="6">
        <f>1/3</f>
        <v>0.33333333333333331</v>
      </c>
      <c r="AG26" s="6">
        <v>1</v>
      </c>
      <c r="AH26" s="6">
        <f>1/5</f>
        <v>0.2</v>
      </c>
      <c r="AI26" s="6">
        <f>1/3</f>
        <v>0.33333333333333331</v>
      </c>
      <c r="AJ26" s="6">
        <f>1/3</f>
        <v>0.33333333333333331</v>
      </c>
      <c r="AK26" s="6">
        <f>1/3</f>
        <v>0.33333333333333331</v>
      </c>
      <c r="AM26" s="14" t="str">
        <f t="shared" si="0"/>
        <v>Strategically Monitor Fires</v>
      </c>
      <c r="AN26" s="6">
        <f t="shared" si="1"/>
        <v>2.7178717276858052E-2</v>
      </c>
      <c r="AP26" s="7">
        <f t="shared" si="36"/>
        <v>2.6178010471204181E-2</v>
      </c>
      <c r="AQ26" s="7">
        <f t="shared" si="37"/>
        <v>4.7999999999999994E-2</v>
      </c>
      <c r="AR26" s="7">
        <f t="shared" si="38"/>
        <v>2.7027027027027029E-2</v>
      </c>
      <c r="AS26" s="7">
        <f t="shared" si="39"/>
        <v>3.1712473572938694E-2</v>
      </c>
      <c r="AT26" s="7">
        <f t="shared" si="40"/>
        <v>3.1712473572938694E-2</v>
      </c>
      <c r="AU26" s="7">
        <f t="shared" si="41"/>
        <v>1.9920318725099601E-2</v>
      </c>
      <c r="AV26" s="7">
        <f t="shared" si="42"/>
        <v>2.1052631578947368E-2</v>
      </c>
      <c r="AW26" s="7">
        <f t="shared" si="43"/>
        <v>3.8461538461538464E-2</v>
      </c>
      <c r="AX26" s="7">
        <f t="shared" si="44"/>
        <v>3.3707865168539332E-2</v>
      </c>
      <c r="AY26" s="7">
        <f t="shared" si="45"/>
        <v>3.045685279187817E-2</v>
      </c>
      <c r="AZ26" s="7">
        <f t="shared" si="46"/>
        <v>3.5294117647058823E-2</v>
      </c>
      <c r="BA26" s="7">
        <f t="shared" si="47"/>
        <v>2.4390243902439025E-2</v>
      </c>
      <c r="BB26" s="7">
        <f t="shared" si="48"/>
        <v>1.993355481727575E-2</v>
      </c>
      <c r="BC26" s="7">
        <f t="shared" si="49"/>
        <v>3.7499999999999999E-2</v>
      </c>
      <c r="BD26" s="7">
        <f t="shared" si="50"/>
        <v>6.5573770491803282E-2</v>
      </c>
      <c r="BE26" s="7">
        <f t="shared" si="51"/>
        <v>2.0833333333333332E-2</v>
      </c>
      <c r="BF26" s="7">
        <f t="shared" si="52"/>
        <v>5.9701492537313432E-2</v>
      </c>
      <c r="BG26" s="7">
        <f t="shared" si="53"/>
        <v>8.4269662921348312E-2</v>
      </c>
      <c r="BH26" s="7">
        <f t="shared" si="54"/>
        <v>1.4999999999999999E-2</v>
      </c>
      <c r="BI26" s="7">
        <f t="shared" si="55"/>
        <v>7.4626865671641781E-3</v>
      </c>
      <c r="BJ26" s="7">
        <f t="shared" si="56"/>
        <v>9.0702947845804991E-3</v>
      </c>
      <c r="BK26" s="7">
        <f t="shared" si="57"/>
        <v>3.1990250590296296E-2</v>
      </c>
      <c r="BL26" s="7">
        <f t="shared" si="58"/>
        <v>3.1088082901554407E-2</v>
      </c>
      <c r="BM26" s="7">
        <f t="shared" si="59"/>
        <v>2.4691358024691357E-2</v>
      </c>
      <c r="BN26" s="7">
        <f t="shared" si="60"/>
        <v>1.5306122448979593E-2</v>
      </c>
      <c r="BO26" s="7">
        <f t="shared" si="61"/>
        <v>8.0645161290322578E-3</v>
      </c>
      <c r="BP26" s="7">
        <f t="shared" si="62"/>
        <v>2.3696682464454975E-2</v>
      </c>
      <c r="BQ26" s="7">
        <f t="shared" si="63"/>
        <v>3.5587188612099638E-3</v>
      </c>
      <c r="BR26" s="7">
        <f t="shared" si="64"/>
        <v>5.0825921219822112E-3</v>
      </c>
      <c r="BS26" s="7">
        <f t="shared" si="65"/>
        <v>6.1538461538461538E-3</v>
      </c>
      <c r="BT26" s="7">
        <f t="shared" si="66"/>
        <v>5.6497175141242938E-3</v>
      </c>
    </row>
    <row r="27" spans="5:72" x14ac:dyDescent="0.25">
      <c r="E27" s="14" t="s">
        <v>28</v>
      </c>
      <c r="F27" s="15">
        <f t="shared" si="35"/>
        <v>3.2488807722421076E-2</v>
      </c>
      <c r="G27" s="9" cm="1">
        <f t="array" ref="G27">1/INDEX($H$11:$AK$11, 1, ROW(A16))</f>
        <v>1</v>
      </c>
      <c r="H27" s="9" cm="1">
        <f t="array" ref="H27">1/INDEX($I$12:$AK$12, 1, ROW(A15))</f>
        <v>2</v>
      </c>
      <c r="I27" s="9" cm="1">
        <f t="array" ref="I27">1/INDEX($J$13:$AK$13, 1, ROW(A14))</f>
        <v>1</v>
      </c>
      <c r="J27" s="14" cm="1">
        <f t="array" ref="J27">1/INDEX($K$14:$AK$14, 1, ROW(A13))</f>
        <v>1</v>
      </c>
      <c r="K27" s="14" cm="1">
        <f t="array" ref="K27">1/INDEX($L$15:$AK$15, 1, ROW(A12))</f>
        <v>1</v>
      </c>
      <c r="L27" s="14" cm="1">
        <f t="array" ref="L27">1/INDEX($M$16:$AK$16, 1, ROW(A11))</f>
        <v>1</v>
      </c>
      <c r="M27" s="14" cm="1">
        <f t="array" ref="M27">1/INDEX($N$17:$AK$17, 1, ROW(A10))</f>
        <v>1</v>
      </c>
      <c r="N27" s="14" cm="1">
        <f t="array" ref="N27">1/INDEX($O$18:$AK$18, 1, ROW(A9))</f>
        <v>1</v>
      </c>
      <c r="O27" s="14" cm="1">
        <f t="array" ref="O27">1/INDEX($P$19:$AK$19, 1, ROW(A8))</f>
        <v>1</v>
      </c>
      <c r="P27" s="14" cm="1">
        <f t="array" ref="P27">1/INDEX($Q$20:$AK$20, 1, ROW(A7))</f>
        <v>1</v>
      </c>
      <c r="Q27" s="14" cm="1">
        <f t="array" ref="Q27">1/INDEX($R$21:$AK$21, 1, ROW(A6))</f>
        <v>1</v>
      </c>
      <c r="R27" s="14" cm="1">
        <f t="array" ref="R27">1/INDEX($S$22:$AK$22, 1, ROW(A5))</f>
        <v>1</v>
      </c>
      <c r="S27" s="14" cm="1">
        <f t="array" ref="S27">1/INDEX($T$23:$AK$23, 1, ROW(A4))</f>
        <v>1</v>
      </c>
      <c r="T27" s="14" cm="1">
        <f t="array" ref="T27">1/INDEX($U$24:$AK$24, 1, ROW(A3))</f>
        <v>1</v>
      </c>
      <c r="U27" s="14" cm="1">
        <f t="array" ref="U27">1/INDEX($V$25:$AK$25, 1, ROW(A2))</f>
        <v>0.5</v>
      </c>
      <c r="V27" s="14" cm="1">
        <f t="array" ref="V27">1/INDEX($W$26:$AK$26, 1, ROW(A1))</f>
        <v>0.5</v>
      </c>
      <c r="W27" s="4">
        <v>1</v>
      </c>
      <c r="X27" s="6">
        <v>1</v>
      </c>
      <c r="Y27" s="6">
        <f>1/3</f>
        <v>0.33333333333333331</v>
      </c>
      <c r="Z27" s="6">
        <v>1</v>
      </c>
      <c r="AA27" s="6">
        <v>1</v>
      </c>
      <c r="AB27" s="6">
        <f>1/2</f>
        <v>0.5</v>
      </c>
      <c r="AC27" s="6">
        <f>1/2</f>
        <v>0.5</v>
      </c>
      <c r="AD27" s="6">
        <f>1/2</f>
        <v>0.5</v>
      </c>
      <c r="AE27" s="6">
        <f>2</f>
        <v>2</v>
      </c>
      <c r="AF27" s="6">
        <f>3</f>
        <v>3</v>
      </c>
      <c r="AG27" s="6">
        <f>3</f>
        <v>3</v>
      </c>
      <c r="AH27" s="6">
        <f>3</f>
        <v>3</v>
      </c>
      <c r="AI27" s="6">
        <f>2</f>
        <v>2</v>
      </c>
      <c r="AJ27" s="6">
        <f>2</f>
        <v>2</v>
      </c>
      <c r="AK27" s="6">
        <f>2</f>
        <v>2</v>
      </c>
      <c r="AM27" s="14" t="str">
        <f t="shared" si="0"/>
        <v>Gather Real Time Data from Assets</v>
      </c>
      <c r="AN27" s="6">
        <f t="shared" si="1"/>
        <v>3.2488807722421076E-2</v>
      </c>
      <c r="AP27" s="7">
        <f t="shared" si="36"/>
        <v>2.6178010471204181E-2</v>
      </c>
      <c r="AQ27" s="7">
        <f t="shared" si="37"/>
        <v>4.7999999999999994E-2</v>
      </c>
      <c r="AR27" s="7">
        <f t="shared" si="38"/>
        <v>2.7027027027027029E-2</v>
      </c>
      <c r="AS27" s="7">
        <f t="shared" si="39"/>
        <v>3.1712473572938694E-2</v>
      </c>
      <c r="AT27" s="7">
        <f t="shared" si="40"/>
        <v>3.1712473572938694E-2</v>
      </c>
      <c r="AU27" s="7">
        <f t="shared" si="41"/>
        <v>1.9920318725099601E-2</v>
      </c>
      <c r="AV27" s="7">
        <f t="shared" si="42"/>
        <v>2.1052631578947368E-2</v>
      </c>
      <c r="AW27" s="7">
        <f t="shared" si="43"/>
        <v>3.8461538461538464E-2</v>
      </c>
      <c r="AX27" s="7">
        <f t="shared" si="44"/>
        <v>3.3707865168539332E-2</v>
      </c>
      <c r="AY27" s="7">
        <f t="shared" si="45"/>
        <v>3.045685279187817E-2</v>
      </c>
      <c r="AZ27" s="7">
        <f t="shared" si="46"/>
        <v>3.5294117647058823E-2</v>
      </c>
      <c r="BA27" s="7">
        <f t="shared" si="47"/>
        <v>2.4390243902439025E-2</v>
      </c>
      <c r="BB27" s="7">
        <f t="shared" si="48"/>
        <v>3.9867109634551499E-2</v>
      </c>
      <c r="BC27" s="7">
        <f t="shared" si="49"/>
        <v>3.7499999999999999E-2</v>
      </c>
      <c r="BD27" s="7">
        <f t="shared" si="50"/>
        <v>1.6393442622950821E-2</v>
      </c>
      <c r="BE27" s="7">
        <f t="shared" si="51"/>
        <v>1.0416666666666666E-2</v>
      </c>
      <c r="BF27" s="7">
        <f t="shared" si="52"/>
        <v>2.9850746268656716E-2</v>
      </c>
      <c r="BG27" s="7">
        <f t="shared" si="53"/>
        <v>4.2134831460674156E-2</v>
      </c>
      <c r="BH27" s="7">
        <f t="shared" si="54"/>
        <v>9.9999999999999985E-3</v>
      </c>
      <c r="BI27" s="7">
        <f t="shared" si="55"/>
        <v>2.2388059701492536E-2</v>
      </c>
      <c r="BJ27" s="7">
        <f t="shared" si="56"/>
        <v>2.7210884353741496E-2</v>
      </c>
      <c r="BK27" s="7">
        <f t="shared" si="57"/>
        <v>1.5995125295148148E-2</v>
      </c>
      <c r="BL27" s="7">
        <f t="shared" si="58"/>
        <v>1.5544041450777204E-2</v>
      </c>
      <c r="BM27" s="7">
        <f t="shared" si="59"/>
        <v>1.2345679012345678E-2</v>
      </c>
      <c r="BN27" s="7">
        <f t="shared" si="60"/>
        <v>6.1224489795918373E-2</v>
      </c>
      <c r="BO27" s="7">
        <f t="shared" si="61"/>
        <v>7.2580645161290314E-2</v>
      </c>
      <c r="BP27" s="7">
        <f t="shared" si="62"/>
        <v>7.1090047393364927E-2</v>
      </c>
      <c r="BQ27" s="7">
        <f t="shared" si="63"/>
        <v>5.3380782918149454E-2</v>
      </c>
      <c r="BR27" s="7">
        <f t="shared" si="64"/>
        <v>3.0495552731893267E-2</v>
      </c>
      <c r="BS27" s="7">
        <f t="shared" si="65"/>
        <v>3.6923076923076927E-2</v>
      </c>
      <c r="BT27" s="7">
        <f t="shared" si="66"/>
        <v>3.3898305084745763E-2</v>
      </c>
    </row>
    <row r="28" spans="5:72" x14ac:dyDescent="0.25">
      <c r="E28" s="14" t="s">
        <v>29</v>
      </c>
      <c r="F28" s="15">
        <f t="shared" si="35"/>
        <v>5.3081244119198394E-2</v>
      </c>
      <c r="G28" s="9" cm="1">
        <f t="array" ref="G28">1/INDEX($H$11:$AK$11, 1, ROW(A17))</f>
        <v>1</v>
      </c>
      <c r="H28" s="9" cm="1">
        <f t="array" ref="H28">1/INDEX($I$12:$AK$12, 1, ROW(A16))</f>
        <v>2</v>
      </c>
      <c r="I28" s="9" cm="1">
        <f t="array" ref="I28">1/INDEX($J$13:$AK$13, 1, ROW(A15))</f>
        <v>1</v>
      </c>
      <c r="J28" s="14" cm="1">
        <f t="array" ref="J28">1/INDEX($K$14:$AK$14, 1, ROW(A14))</f>
        <v>1</v>
      </c>
      <c r="K28" s="14" cm="1">
        <f t="array" ref="K28">1/INDEX($L$15:$AK$15, 1, ROW(A13))</f>
        <v>1</v>
      </c>
      <c r="L28" s="14" cm="1">
        <f t="array" ref="L28">1/INDEX($M$16:$AK$16, 1, ROW(A12))</f>
        <v>1</v>
      </c>
      <c r="M28" s="14" cm="1">
        <f t="array" ref="M28">1/INDEX($N$17:$AK$17, 1, ROW(A11))</f>
        <v>1</v>
      </c>
      <c r="N28" s="14" cm="1">
        <f t="array" ref="N28">1/INDEX($O$18:$AK$18, 1, ROW(A10))</f>
        <v>1</v>
      </c>
      <c r="O28" s="14" cm="1">
        <f t="array" ref="O28">1/INDEX($P$19:$AK$19, 1, ROW(A9))</f>
        <v>1</v>
      </c>
      <c r="P28" s="14" cm="1">
        <f t="array" ref="P28">1/INDEX($Q$20:$AK$20, 1, ROW(A8))</f>
        <v>1</v>
      </c>
      <c r="Q28" s="14" cm="1">
        <f t="array" ref="Q28">1/INDEX($R$21:$AK$21, 1, ROW(A7))</f>
        <v>1</v>
      </c>
      <c r="R28" s="14" cm="1">
        <f t="array" ref="R28">1/INDEX($S$22:$AK$22, 1, ROW(A6))</f>
        <v>1</v>
      </c>
      <c r="S28" s="14" cm="1">
        <f t="array" ref="S28">1/INDEX($T$23:$AK$23, 1, ROW(A5))</f>
        <v>1</v>
      </c>
      <c r="T28" s="14" cm="1">
        <f t="array" ref="T28">1/INDEX($U$24:$AK$24, 1, ROW(A4))</f>
        <v>1</v>
      </c>
      <c r="U28" s="14" cm="1">
        <f t="array" ref="U28">1/INDEX($V$25:$AK$25, 1, ROW(A3))</f>
        <v>0.5</v>
      </c>
      <c r="V28" s="14" cm="1">
        <f t="array" ref="V28">1/INDEX($W$26:$AK$26, 1, ROW(A2))</f>
        <v>0.5</v>
      </c>
      <c r="W28" s="14" cm="1">
        <f t="array" ref="W28">1/INDEX($X$27:$AK$27, 1, ROW(A1))</f>
        <v>1</v>
      </c>
      <c r="X28" s="4">
        <v>1</v>
      </c>
      <c r="Y28" s="6">
        <f>3</f>
        <v>3</v>
      </c>
      <c r="Z28" s="6">
        <f>2</f>
        <v>2</v>
      </c>
      <c r="AA28" s="6">
        <f>2</f>
        <v>2</v>
      </c>
      <c r="AB28" s="6">
        <f>2</f>
        <v>2</v>
      </c>
      <c r="AC28" s="6">
        <f>2</f>
        <v>2</v>
      </c>
      <c r="AD28" s="6">
        <f>2</f>
        <v>2</v>
      </c>
      <c r="AE28" s="6">
        <f>4</f>
        <v>4</v>
      </c>
      <c r="AF28" s="6">
        <f>4</f>
        <v>4</v>
      </c>
      <c r="AG28" s="6">
        <f>6</f>
        <v>6</v>
      </c>
      <c r="AH28" s="6">
        <f>6</f>
        <v>6</v>
      </c>
      <c r="AI28" s="6">
        <f>6</f>
        <v>6</v>
      </c>
      <c r="AJ28" s="6">
        <f>5</f>
        <v>5</v>
      </c>
      <c r="AK28" s="6">
        <f>5</f>
        <v>5</v>
      </c>
      <c r="AM28" s="14" t="str">
        <f t="shared" si="0"/>
        <v>Build Real Time Situational Awareness</v>
      </c>
      <c r="AN28" s="6">
        <f t="shared" si="1"/>
        <v>5.3081244119198394E-2</v>
      </c>
      <c r="AP28" s="7">
        <f t="shared" si="36"/>
        <v>2.6178010471204181E-2</v>
      </c>
      <c r="AQ28" s="7">
        <f t="shared" si="37"/>
        <v>4.7999999999999994E-2</v>
      </c>
      <c r="AR28" s="7">
        <f t="shared" si="38"/>
        <v>2.7027027027027029E-2</v>
      </c>
      <c r="AS28" s="7">
        <f t="shared" si="39"/>
        <v>3.1712473572938694E-2</v>
      </c>
      <c r="AT28" s="7">
        <f t="shared" si="40"/>
        <v>3.1712473572938694E-2</v>
      </c>
      <c r="AU28" s="7">
        <f t="shared" si="41"/>
        <v>1.9920318725099601E-2</v>
      </c>
      <c r="AV28" s="7">
        <f t="shared" si="42"/>
        <v>2.1052631578947368E-2</v>
      </c>
      <c r="AW28" s="7">
        <f t="shared" si="43"/>
        <v>3.8461538461538464E-2</v>
      </c>
      <c r="AX28" s="7">
        <f t="shared" si="44"/>
        <v>3.3707865168539332E-2</v>
      </c>
      <c r="AY28" s="7">
        <f t="shared" si="45"/>
        <v>3.045685279187817E-2</v>
      </c>
      <c r="AZ28" s="7">
        <f t="shared" si="46"/>
        <v>3.5294117647058823E-2</v>
      </c>
      <c r="BA28" s="7">
        <f t="shared" si="47"/>
        <v>2.4390243902439025E-2</v>
      </c>
      <c r="BB28" s="7">
        <f t="shared" si="48"/>
        <v>3.9867109634551499E-2</v>
      </c>
      <c r="BC28" s="7">
        <f t="shared" si="49"/>
        <v>3.7499999999999999E-2</v>
      </c>
      <c r="BD28" s="7">
        <f t="shared" si="50"/>
        <v>1.6393442622950821E-2</v>
      </c>
      <c r="BE28" s="7">
        <f t="shared" si="51"/>
        <v>1.0416666666666666E-2</v>
      </c>
      <c r="BF28" s="7">
        <f t="shared" si="52"/>
        <v>2.9850746268656716E-2</v>
      </c>
      <c r="BG28" s="7">
        <f t="shared" si="53"/>
        <v>4.2134831460674156E-2</v>
      </c>
      <c r="BH28" s="7">
        <f t="shared" si="54"/>
        <v>0.09</v>
      </c>
      <c r="BI28" s="7">
        <f t="shared" si="55"/>
        <v>4.4776119402985072E-2</v>
      </c>
      <c r="BJ28" s="7">
        <f t="shared" si="56"/>
        <v>5.4421768707482991E-2</v>
      </c>
      <c r="BK28" s="7">
        <f t="shared" si="57"/>
        <v>6.3980501180592592E-2</v>
      </c>
      <c r="BL28" s="7">
        <f t="shared" si="58"/>
        <v>6.2176165803108814E-2</v>
      </c>
      <c r="BM28" s="7">
        <f t="shared" si="59"/>
        <v>4.9382716049382713E-2</v>
      </c>
      <c r="BN28" s="7">
        <f t="shared" si="60"/>
        <v>0.12244897959183675</v>
      </c>
      <c r="BO28" s="7">
        <f t="shared" si="61"/>
        <v>9.6774193548387094E-2</v>
      </c>
      <c r="BP28" s="7">
        <f t="shared" si="62"/>
        <v>0.14218009478672985</v>
      </c>
      <c r="BQ28" s="7">
        <f t="shared" si="63"/>
        <v>0.10676156583629891</v>
      </c>
      <c r="BR28" s="7">
        <f t="shared" si="64"/>
        <v>9.1486658195679804E-2</v>
      </c>
      <c r="BS28" s="7">
        <f t="shared" si="65"/>
        <v>9.2307692307692313E-2</v>
      </c>
      <c r="BT28" s="7">
        <f t="shared" si="66"/>
        <v>8.4745762711864403E-2</v>
      </c>
    </row>
    <row r="29" spans="5:72" x14ac:dyDescent="0.25">
      <c r="E29" s="14" t="s">
        <v>30</v>
      </c>
      <c r="F29" s="15">
        <f t="shared" si="35"/>
        <v>3.4671263831744153E-2</v>
      </c>
      <c r="G29" s="9" cm="1">
        <f t="array" ref="G29">1/INDEX($H$11:$AK$11, 1, ROW(A18))</f>
        <v>1</v>
      </c>
      <c r="H29" s="9" cm="1">
        <f t="array" ref="H29">1/INDEX($I$12:$AK$12, 1, ROW(A17))</f>
        <v>2</v>
      </c>
      <c r="I29" s="9" cm="1">
        <f t="array" ref="I29">1/INDEX($J$13:$AK$13, 1, ROW(A16))</f>
        <v>1</v>
      </c>
      <c r="J29" s="14" cm="1">
        <f t="array" ref="J29">1/INDEX($K$14:$AK$14, 1, ROW(A15))</f>
        <v>1</v>
      </c>
      <c r="K29" s="14" cm="1">
        <f t="array" ref="K29">1/INDEX($L$15:$AK$15, 1, ROW(A14))</f>
        <v>1</v>
      </c>
      <c r="L29" s="14" cm="1">
        <f t="array" ref="L29">1/INDEX($M$16:$AK$16, 1, ROW(A13))</f>
        <v>1</v>
      </c>
      <c r="M29" s="14" cm="1">
        <f t="array" ref="M29">1/INDEX($N$17:$AK$17, 1, ROW(A12))</f>
        <v>1</v>
      </c>
      <c r="N29" s="14" cm="1">
        <f t="array" ref="N29">1/INDEX($O$18:$AK$18, 1, ROW(A11))</f>
        <v>1</v>
      </c>
      <c r="O29" s="14" cm="1">
        <f t="array" ref="O29">1/INDEX($P$19:$AK$19, 1, ROW(A10))</f>
        <v>1</v>
      </c>
      <c r="P29" s="14" cm="1">
        <f t="array" ref="P29">1/INDEX($Q$20:$AK$20, 1, ROW(A9))</f>
        <v>1</v>
      </c>
      <c r="Q29" s="14" cm="1">
        <f t="array" ref="Q29">1/INDEX($R$21:$AK$21, 1, ROW(A8))</f>
        <v>1</v>
      </c>
      <c r="R29" s="14" cm="1">
        <f t="array" ref="R29">1/INDEX($S$22:$AK$22, 1, ROW(A7))</f>
        <v>1</v>
      </c>
      <c r="S29" s="14" cm="1">
        <f t="array" ref="S29">1/INDEX($T$23:$AK$23, 1, ROW(A6))</f>
        <v>1</v>
      </c>
      <c r="T29" s="14" cm="1">
        <f t="array" ref="T29">1/INDEX($U$24:$AK$24, 1, ROW(A5))</f>
        <v>1</v>
      </c>
      <c r="U29" s="14" cm="1">
        <f t="array" ref="U29">1/INDEX($V$25:$AK$25, 1, ROW(A4))</f>
        <v>0.5</v>
      </c>
      <c r="V29" s="14" cm="1">
        <f t="array" ref="V29">1/INDEX($W$26:$AK$26, 1, ROW(A3))</f>
        <v>2</v>
      </c>
      <c r="W29" s="14" cm="1">
        <f t="array" ref="W29">1/INDEX($X$27:$AK$27, 1, ROW(A2))</f>
        <v>3</v>
      </c>
      <c r="X29" s="14" cm="1">
        <f t="array" ref="X29">1/INDEX($Y$28:$AK$28, 1, ROW(A1))</f>
        <v>0.33333333333333331</v>
      </c>
      <c r="Y29" s="4">
        <v>1</v>
      </c>
      <c r="Z29" s="6">
        <f>1/3</f>
        <v>0.33333333333333331</v>
      </c>
      <c r="AA29" s="6">
        <f>1</f>
        <v>1</v>
      </c>
      <c r="AB29" s="6">
        <f>2</f>
        <v>2</v>
      </c>
      <c r="AC29" s="6">
        <f>2</f>
        <v>2</v>
      </c>
      <c r="AD29" s="6">
        <f>2</f>
        <v>2</v>
      </c>
      <c r="AE29" s="6">
        <f>1/2</f>
        <v>0.5</v>
      </c>
      <c r="AF29" s="6">
        <f>1/2</f>
        <v>0.5</v>
      </c>
      <c r="AG29" s="6">
        <f>1/2</f>
        <v>0.5</v>
      </c>
      <c r="AH29" s="6">
        <f>3</f>
        <v>3</v>
      </c>
      <c r="AI29" s="6">
        <f>3</f>
        <v>3</v>
      </c>
      <c r="AJ29" s="6">
        <f>3</f>
        <v>3</v>
      </c>
      <c r="AK29" s="6">
        <f>2</f>
        <v>2</v>
      </c>
      <c r="AM29" s="14" t="str">
        <f t="shared" si="0"/>
        <v>Coordinate Air &amp; Ground Resources</v>
      </c>
      <c r="AN29" s="6">
        <f t="shared" si="1"/>
        <v>3.4671263831744153E-2</v>
      </c>
      <c r="AP29" s="7">
        <f t="shared" si="36"/>
        <v>2.6178010471204181E-2</v>
      </c>
      <c r="AQ29" s="7">
        <f t="shared" si="37"/>
        <v>4.7999999999999994E-2</v>
      </c>
      <c r="AR29" s="7">
        <f t="shared" si="38"/>
        <v>2.7027027027027029E-2</v>
      </c>
      <c r="AS29" s="7">
        <f t="shared" si="39"/>
        <v>3.1712473572938694E-2</v>
      </c>
      <c r="AT29" s="7">
        <f t="shared" si="40"/>
        <v>3.1712473572938694E-2</v>
      </c>
      <c r="AU29" s="7">
        <f t="shared" si="41"/>
        <v>1.9920318725099601E-2</v>
      </c>
      <c r="AV29" s="7">
        <f t="shared" si="42"/>
        <v>2.1052631578947368E-2</v>
      </c>
      <c r="AW29" s="7">
        <f t="shared" si="43"/>
        <v>3.8461538461538464E-2</v>
      </c>
      <c r="AX29" s="7">
        <f t="shared" si="44"/>
        <v>3.3707865168539332E-2</v>
      </c>
      <c r="AY29" s="7">
        <f t="shared" si="45"/>
        <v>3.045685279187817E-2</v>
      </c>
      <c r="AZ29" s="7">
        <f t="shared" si="46"/>
        <v>3.5294117647058823E-2</v>
      </c>
      <c r="BA29" s="7">
        <f t="shared" si="47"/>
        <v>2.4390243902439025E-2</v>
      </c>
      <c r="BB29" s="7">
        <f t="shared" si="48"/>
        <v>3.9867109634551499E-2</v>
      </c>
      <c r="BC29" s="7">
        <f t="shared" si="49"/>
        <v>3.7499999999999999E-2</v>
      </c>
      <c r="BD29" s="7">
        <f t="shared" si="50"/>
        <v>1.6393442622950821E-2</v>
      </c>
      <c r="BE29" s="7">
        <f t="shared" si="51"/>
        <v>4.1666666666666664E-2</v>
      </c>
      <c r="BF29" s="7">
        <f t="shared" si="52"/>
        <v>8.9552238805970144E-2</v>
      </c>
      <c r="BG29" s="7">
        <f t="shared" si="53"/>
        <v>1.4044943820224717E-2</v>
      </c>
      <c r="BH29" s="7">
        <f t="shared" si="54"/>
        <v>0.03</v>
      </c>
      <c r="BI29" s="7">
        <f t="shared" si="55"/>
        <v>7.4626865671641781E-3</v>
      </c>
      <c r="BJ29" s="7">
        <f t="shared" si="56"/>
        <v>2.7210884353741496E-2</v>
      </c>
      <c r="BK29" s="7">
        <f t="shared" si="57"/>
        <v>6.3980501180592592E-2</v>
      </c>
      <c r="BL29" s="7">
        <f t="shared" si="58"/>
        <v>6.2176165803108814E-2</v>
      </c>
      <c r="BM29" s="7">
        <f t="shared" si="59"/>
        <v>4.9382716049382713E-2</v>
      </c>
      <c r="BN29" s="7">
        <f t="shared" si="60"/>
        <v>1.5306122448979593E-2</v>
      </c>
      <c r="BO29" s="7">
        <f t="shared" si="61"/>
        <v>1.2096774193548387E-2</v>
      </c>
      <c r="BP29" s="7">
        <f t="shared" si="62"/>
        <v>1.1848341232227487E-2</v>
      </c>
      <c r="BQ29" s="7">
        <f t="shared" si="63"/>
        <v>5.3380782918149454E-2</v>
      </c>
      <c r="BR29" s="7">
        <f t="shared" si="64"/>
        <v>4.5743329097839902E-2</v>
      </c>
      <c r="BS29" s="7">
        <f t="shared" si="65"/>
        <v>5.5384615384615386E-2</v>
      </c>
      <c r="BT29" s="7">
        <f t="shared" si="66"/>
        <v>3.3898305084745763E-2</v>
      </c>
    </row>
    <row r="30" spans="5:72" x14ac:dyDescent="0.25">
      <c r="E30" s="14" t="s">
        <v>31</v>
      </c>
      <c r="F30" s="15">
        <f t="shared" si="35"/>
        <v>2.7769726743138663E-2</v>
      </c>
      <c r="G30" s="9" cm="1">
        <f t="array" ref="G30">1/INDEX($H$11:$AK$11, 1, ROW(A19))</f>
        <v>1</v>
      </c>
      <c r="H30" s="9" cm="1">
        <f t="array" ref="H30">1/INDEX($I$12:$AK$12, 1, ROW(A18))</f>
        <v>2</v>
      </c>
      <c r="I30" s="9" cm="1">
        <f t="array" ref="I30">1/INDEX($J$13:$AK$13, 1, ROW(A17))</f>
        <v>1</v>
      </c>
      <c r="J30" s="14" cm="1">
        <f t="array" ref="J30">1/INDEX($K$14:$AK$14, 1, ROW(A16))</f>
        <v>1</v>
      </c>
      <c r="K30" s="14" cm="1">
        <f t="array" ref="K30">1/INDEX($L$15:$AK$15, 1, ROW(A15))</f>
        <v>1</v>
      </c>
      <c r="L30" s="14" cm="1">
        <f t="array" ref="L30">1/INDEX($M$16:$AK$16, 1, ROW(A14))</f>
        <v>1</v>
      </c>
      <c r="M30" s="14" cm="1">
        <f t="array" ref="M30">1/INDEX($N$17:$AK$17, 1, ROW(A13))</f>
        <v>1</v>
      </c>
      <c r="N30" s="14" cm="1">
        <f t="array" ref="N30">1/INDEX($O$18:$AK$18, 1, ROW(A12))</f>
        <v>1</v>
      </c>
      <c r="O30" s="14" cm="1">
        <f t="array" ref="O30">1/INDEX($P$19:$AK$19, 1, ROW(A11))</f>
        <v>1</v>
      </c>
      <c r="P30" s="14" cm="1">
        <f t="array" ref="P30">1/INDEX($Q$20:$AK$20, 1, ROW(A10))</f>
        <v>1</v>
      </c>
      <c r="Q30" s="14" cm="1">
        <f t="array" ref="Q30">1/INDEX($R$21:$AK$21, 1, ROW(A9))</f>
        <v>1</v>
      </c>
      <c r="R30" s="14" cm="1">
        <f t="array" ref="R30">1/INDEX($S$22:$AK$22, 1, ROW(A8))</f>
        <v>1</v>
      </c>
      <c r="S30" s="14" cm="1">
        <f t="array" ref="S30">1/INDEX($T$23:$AK$23, 1, ROW(A7))</f>
        <v>1</v>
      </c>
      <c r="T30" s="14" cm="1">
        <f t="array" ref="T30">1/INDEX($U$24:$AK$24, 1, ROW(A6))</f>
        <v>1</v>
      </c>
      <c r="U30" s="14" cm="1">
        <f t="array" ref="U30">1/INDEX($V$25:$AK$25, 1, ROW(A5))</f>
        <v>0.5</v>
      </c>
      <c r="V30" s="14" cm="1">
        <f t="array" ref="V30">1/INDEX($W$26:$AK$26, 1, ROW(A4))</f>
        <v>3</v>
      </c>
      <c r="W30" s="14" cm="1">
        <f t="array" ref="W30">1/INDEX($X$27:$AK$27, 1, ROW(A3))</f>
        <v>1</v>
      </c>
      <c r="X30" s="14" cm="1">
        <f t="array" ref="X30">1/INDEX($Y$28:$AK$28, 1, ROW(A2))</f>
        <v>0.5</v>
      </c>
      <c r="Y30" s="14" cm="1">
        <f t="array" ref="Y30">1/INDEX($Z$29:$AK$29, 1, ROW(A1))</f>
        <v>3</v>
      </c>
      <c r="Z30" s="4">
        <v>1</v>
      </c>
      <c r="AA30" s="6">
        <f>1/3</f>
        <v>0.33333333333333331</v>
      </c>
      <c r="AB30" s="6">
        <f>1/2</f>
        <v>0.5</v>
      </c>
      <c r="AC30" s="6">
        <v>1</v>
      </c>
      <c r="AD30" s="6">
        <v>2</v>
      </c>
      <c r="AE30" s="6">
        <f>1/2</f>
        <v>0.5</v>
      </c>
      <c r="AF30" s="6">
        <f>1/3</f>
        <v>0.33333333333333331</v>
      </c>
      <c r="AG30" s="6">
        <f>1/5</f>
        <v>0.2</v>
      </c>
      <c r="AH30" s="6">
        <f>1/3</f>
        <v>0.33333333333333331</v>
      </c>
      <c r="AI30" s="6">
        <f>1/2</f>
        <v>0.5</v>
      </c>
      <c r="AJ30" s="6">
        <f>1/2</f>
        <v>0.5</v>
      </c>
      <c r="AK30" s="6">
        <v>1</v>
      </c>
      <c r="AM30" s="14" t="str">
        <f t="shared" si="0"/>
        <v>Dynamically Allocate Resources</v>
      </c>
      <c r="AN30" s="6">
        <f t="shared" si="1"/>
        <v>2.7769726743138663E-2</v>
      </c>
      <c r="AP30" s="7">
        <f t="shared" si="36"/>
        <v>2.6178010471204181E-2</v>
      </c>
      <c r="AQ30" s="7">
        <f t="shared" si="37"/>
        <v>4.7999999999999994E-2</v>
      </c>
      <c r="AR30" s="7">
        <f t="shared" si="38"/>
        <v>2.7027027027027029E-2</v>
      </c>
      <c r="AS30" s="7">
        <f t="shared" si="39"/>
        <v>3.1712473572938694E-2</v>
      </c>
      <c r="AT30" s="7">
        <f t="shared" si="40"/>
        <v>3.1712473572938694E-2</v>
      </c>
      <c r="AU30" s="7">
        <f t="shared" si="41"/>
        <v>1.9920318725099601E-2</v>
      </c>
      <c r="AV30" s="7">
        <f t="shared" si="42"/>
        <v>2.1052631578947368E-2</v>
      </c>
      <c r="AW30" s="7">
        <f t="shared" si="43"/>
        <v>3.8461538461538464E-2</v>
      </c>
      <c r="AX30" s="7">
        <f t="shared" si="44"/>
        <v>3.3707865168539332E-2</v>
      </c>
      <c r="AY30" s="7">
        <f t="shared" si="45"/>
        <v>3.045685279187817E-2</v>
      </c>
      <c r="AZ30" s="7">
        <f t="shared" si="46"/>
        <v>3.5294117647058823E-2</v>
      </c>
      <c r="BA30" s="7">
        <f t="shared" si="47"/>
        <v>2.4390243902439025E-2</v>
      </c>
      <c r="BB30" s="7">
        <f t="shared" si="48"/>
        <v>3.9867109634551499E-2</v>
      </c>
      <c r="BC30" s="7">
        <f t="shared" si="49"/>
        <v>3.7499999999999999E-2</v>
      </c>
      <c r="BD30" s="7">
        <f t="shared" si="50"/>
        <v>1.6393442622950821E-2</v>
      </c>
      <c r="BE30" s="7">
        <f t="shared" si="51"/>
        <v>6.25E-2</v>
      </c>
      <c r="BF30" s="7">
        <f t="shared" si="52"/>
        <v>2.9850746268656716E-2</v>
      </c>
      <c r="BG30" s="7">
        <f t="shared" si="53"/>
        <v>2.1067415730337078E-2</v>
      </c>
      <c r="BH30" s="7">
        <f t="shared" si="54"/>
        <v>0.09</v>
      </c>
      <c r="BI30" s="7">
        <f t="shared" si="55"/>
        <v>2.2388059701492536E-2</v>
      </c>
      <c r="BJ30" s="7">
        <f t="shared" si="56"/>
        <v>9.0702947845804991E-3</v>
      </c>
      <c r="BK30" s="7">
        <f t="shared" si="57"/>
        <v>1.5995125295148148E-2</v>
      </c>
      <c r="BL30" s="7">
        <f t="shared" si="58"/>
        <v>3.1088082901554407E-2</v>
      </c>
      <c r="BM30" s="7">
        <f t="shared" si="59"/>
        <v>4.9382716049382713E-2</v>
      </c>
      <c r="BN30" s="7">
        <f t="shared" si="60"/>
        <v>1.5306122448979593E-2</v>
      </c>
      <c r="BO30" s="7">
        <f t="shared" si="61"/>
        <v>8.0645161290322578E-3</v>
      </c>
      <c r="BP30" s="7">
        <f t="shared" si="62"/>
        <v>4.7393364928909956E-3</v>
      </c>
      <c r="BQ30" s="7">
        <f t="shared" si="63"/>
        <v>5.9311981020166056E-3</v>
      </c>
      <c r="BR30" s="7">
        <f t="shared" si="64"/>
        <v>7.6238881829733167E-3</v>
      </c>
      <c r="BS30" s="7">
        <f t="shared" si="65"/>
        <v>9.2307692307692316E-3</v>
      </c>
      <c r="BT30" s="7">
        <f t="shared" si="66"/>
        <v>1.6949152542372881E-2</v>
      </c>
    </row>
    <row r="31" spans="5:72" x14ac:dyDescent="0.25">
      <c r="E31" s="14" t="s">
        <v>32</v>
      </c>
      <c r="F31" s="15">
        <f t="shared" si="35"/>
        <v>3.6661628967277121E-2</v>
      </c>
      <c r="G31" s="9" cm="1">
        <f t="array" ref="G31">1/INDEX($H$11:$AK$11, 1, ROW(A20))</f>
        <v>2</v>
      </c>
      <c r="H31" s="9" cm="1">
        <f t="array" ref="H31">1/INDEX($I$12:$AK$12, 1, ROW(A19))</f>
        <v>2</v>
      </c>
      <c r="I31" s="9" cm="1">
        <f t="array" ref="I31">1/INDEX($J$13:$AK$13, 1, ROW(A18))</f>
        <v>1</v>
      </c>
      <c r="J31" s="14" cm="1">
        <f t="array" ref="J31">1/INDEX($K$14:$AK$14, 1, ROW(A17))</f>
        <v>1</v>
      </c>
      <c r="K31" s="14" cm="1">
        <f t="array" ref="K31">1/INDEX($L$15:$AK$15, 1, ROW(A16))</f>
        <v>1</v>
      </c>
      <c r="L31" s="14" cm="1">
        <f t="array" ref="L31">1/INDEX($M$16:$AK$16, 1, ROW(A15))</f>
        <v>1</v>
      </c>
      <c r="M31" s="14" cm="1">
        <f t="array" ref="M31">1/INDEX($N$17:$AK$17, 1, ROW(A14))</f>
        <v>1</v>
      </c>
      <c r="N31" s="14" cm="1">
        <f t="array" ref="N31">1/INDEX($O$18:$AK$18, 1, ROW(A13))</f>
        <v>1</v>
      </c>
      <c r="O31" s="14" cm="1">
        <f t="array" ref="O31">1/INDEX($P$19:$AK$19, 1, ROW(A12))</f>
        <v>1</v>
      </c>
      <c r="P31" s="14" cm="1">
        <f t="array" ref="P31">1/INDEX($Q$20:$AK$20, 1, ROW(A11))</f>
        <v>1</v>
      </c>
      <c r="Q31" s="14" cm="1">
        <f t="array" ref="Q31">1/INDEX($R$21:$AK$21, 1, ROW(A10))</f>
        <v>1</v>
      </c>
      <c r="R31" s="14" cm="1">
        <f t="array" ref="R31">1/INDEX($S$22:$AK$22, 1, ROW(A9))</f>
        <v>1</v>
      </c>
      <c r="S31" s="14" cm="1">
        <f t="array" ref="S31">1/INDEX($T$23:$AK$23, 1, ROW(A8))</f>
        <v>1</v>
      </c>
      <c r="T31" s="14" cm="1">
        <f t="array" ref="T31">1/INDEX($U$24:$AK$24, 1, ROW(A7))</f>
        <v>1</v>
      </c>
      <c r="U31" s="14" cm="1">
        <f t="array" ref="U31">1/INDEX($V$25:$AK$25, 1, ROW(A6))</f>
        <v>0.5</v>
      </c>
      <c r="V31" s="14" cm="1">
        <f t="array" ref="V31">1/INDEX($W$26:$AK$26, 1, ROW(A5))</f>
        <v>3</v>
      </c>
      <c r="W31" s="14" cm="1">
        <f t="array" ref="W31">1/INDEX($X$27:$AK$27, 1, ROW(A4))</f>
        <v>1</v>
      </c>
      <c r="X31" s="14" cm="1">
        <f t="array" ref="X31">1/INDEX($Y$28:$AK$28, 1, ROW(A3))</f>
        <v>0.5</v>
      </c>
      <c r="Y31" s="14" cm="1">
        <f t="array" ref="Y31">1/INDEX($Z$29:$AK$29, 1, ROW(A2))</f>
        <v>1</v>
      </c>
      <c r="Z31" s="14" cm="1">
        <f t="array" ref="Z31">1/INDEX($AA$30:$AK$30, 1, ROW(A1))</f>
        <v>3</v>
      </c>
      <c r="AA31" s="4">
        <v>1</v>
      </c>
      <c r="AB31" s="6">
        <v>2</v>
      </c>
      <c r="AC31" s="6">
        <v>3</v>
      </c>
      <c r="AD31" s="6">
        <v>4</v>
      </c>
      <c r="AE31" s="6">
        <v>2</v>
      </c>
      <c r="AF31" s="6">
        <v>2</v>
      </c>
      <c r="AG31" s="6">
        <v>1</v>
      </c>
      <c r="AH31" s="6">
        <v>0.33333333333333331</v>
      </c>
      <c r="AI31" s="6">
        <v>0.25</v>
      </c>
      <c r="AJ31" s="6">
        <v>0.33333333333333331</v>
      </c>
      <c r="AK31" s="6">
        <v>0.33333333333333331</v>
      </c>
      <c r="AM31" s="14" t="str">
        <f t="shared" si="0"/>
        <v>Issue Commands to Assets</v>
      </c>
      <c r="AN31" s="6">
        <f t="shared" si="1"/>
        <v>3.6661628967277121E-2</v>
      </c>
      <c r="AP31" s="7">
        <f t="shared" si="36"/>
        <v>5.2356020942408363E-2</v>
      </c>
      <c r="AQ31" s="7">
        <f t="shared" si="37"/>
        <v>4.7999999999999994E-2</v>
      </c>
      <c r="AR31" s="7">
        <f t="shared" si="38"/>
        <v>2.7027027027027029E-2</v>
      </c>
      <c r="AS31" s="7">
        <f t="shared" si="39"/>
        <v>3.1712473572938694E-2</v>
      </c>
      <c r="AT31" s="7">
        <f t="shared" si="40"/>
        <v>3.1712473572938694E-2</v>
      </c>
      <c r="AU31" s="7">
        <f t="shared" si="41"/>
        <v>1.9920318725099601E-2</v>
      </c>
      <c r="AV31" s="7">
        <f t="shared" si="42"/>
        <v>2.1052631578947368E-2</v>
      </c>
      <c r="AW31" s="7">
        <f t="shared" si="43"/>
        <v>3.8461538461538464E-2</v>
      </c>
      <c r="AX31" s="7">
        <f t="shared" si="44"/>
        <v>3.3707865168539332E-2</v>
      </c>
      <c r="AY31" s="7">
        <f t="shared" si="45"/>
        <v>3.045685279187817E-2</v>
      </c>
      <c r="AZ31" s="7">
        <f t="shared" si="46"/>
        <v>3.5294117647058823E-2</v>
      </c>
      <c r="BA31" s="7">
        <f t="shared" si="47"/>
        <v>2.4390243902439025E-2</v>
      </c>
      <c r="BB31" s="7">
        <f t="shared" si="48"/>
        <v>3.9867109634551499E-2</v>
      </c>
      <c r="BC31" s="7">
        <f t="shared" si="49"/>
        <v>3.7499999999999999E-2</v>
      </c>
      <c r="BD31" s="7">
        <f t="shared" si="50"/>
        <v>1.6393442622950821E-2</v>
      </c>
      <c r="BE31" s="7">
        <f t="shared" si="51"/>
        <v>6.25E-2</v>
      </c>
      <c r="BF31" s="7">
        <f t="shared" si="52"/>
        <v>2.9850746268656716E-2</v>
      </c>
      <c r="BG31" s="7">
        <f t="shared" si="53"/>
        <v>2.1067415730337078E-2</v>
      </c>
      <c r="BH31" s="7">
        <f t="shared" si="54"/>
        <v>0.03</v>
      </c>
      <c r="BI31" s="7">
        <f t="shared" si="55"/>
        <v>6.7164179104477612E-2</v>
      </c>
      <c r="BJ31" s="7">
        <f t="shared" si="56"/>
        <v>2.7210884353741496E-2</v>
      </c>
      <c r="BK31" s="7">
        <f t="shared" si="57"/>
        <v>6.3980501180592592E-2</v>
      </c>
      <c r="BL31" s="7">
        <f t="shared" si="58"/>
        <v>9.3264248704663225E-2</v>
      </c>
      <c r="BM31" s="7">
        <f t="shared" si="59"/>
        <v>9.8765432098765427E-2</v>
      </c>
      <c r="BN31" s="7">
        <f t="shared" si="60"/>
        <v>6.1224489795918373E-2</v>
      </c>
      <c r="BO31" s="7">
        <f t="shared" si="61"/>
        <v>4.8387096774193547E-2</v>
      </c>
      <c r="BP31" s="7">
        <f t="shared" si="62"/>
        <v>2.3696682464454975E-2</v>
      </c>
      <c r="BQ31" s="7">
        <f t="shared" si="63"/>
        <v>5.9311981020166056E-3</v>
      </c>
      <c r="BR31" s="7">
        <f t="shared" si="64"/>
        <v>3.8119440914866584E-3</v>
      </c>
      <c r="BS31" s="7">
        <f t="shared" si="65"/>
        <v>6.1538461538461538E-3</v>
      </c>
      <c r="BT31" s="7">
        <f t="shared" si="66"/>
        <v>5.6497175141242938E-3</v>
      </c>
    </row>
    <row r="32" spans="5:72" x14ac:dyDescent="0.25">
      <c r="E32" s="14" t="s">
        <v>33</v>
      </c>
      <c r="F32" s="15">
        <f t="shared" si="35"/>
        <v>3.9361134870851383E-2</v>
      </c>
      <c r="G32" s="9" cm="1">
        <f t="array" ref="G32">1/INDEX($H$11:$AK$11, 1, ROW(A21))</f>
        <v>2</v>
      </c>
      <c r="H32" s="9" cm="1">
        <f t="array" ref="H32">1/INDEX($I$12:$AK$12, 1, ROW(A20))</f>
        <v>2</v>
      </c>
      <c r="I32" s="9" cm="1">
        <f t="array" ref="I32">1/INDEX($J$13:$AK$13, 1, ROW(A19))</f>
        <v>1</v>
      </c>
      <c r="J32" s="14" cm="1">
        <f t="array" ref="J32">1/INDEX($K$14:$AK$14, 1, ROW(A18))</f>
        <v>1</v>
      </c>
      <c r="K32" s="14" cm="1">
        <f t="array" ref="K32">1/INDEX($L$15:$AK$15, 1, ROW(A17))</f>
        <v>1</v>
      </c>
      <c r="L32" s="14" cm="1">
        <f t="array" ref="L32">1/INDEX($M$16:$AK$16, 1, ROW(A16))</f>
        <v>1</v>
      </c>
      <c r="M32" s="14" cm="1">
        <f t="array" ref="M32">1/INDEX($N$17:$AK$17, 1, ROW(A15))</f>
        <v>1</v>
      </c>
      <c r="N32" s="14" cm="1">
        <f t="array" ref="N32">1/INDEX($O$18:$AK$18, 1, ROW(A14))</f>
        <v>1</v>
      </c>
      <c r="O32" s="14" cm="1">
        <f t="array" ref="O32">1/INDEX($P$19:$AK$19, 1, ROW(A13))</f>
        <v>1</v>
      </c>
      <c r="P32" s="14" cm="1">
        <f t="array" ref="P32">1/INDEX($Q$20:$AK$20, 1, ROW(A12))</f>
        <v>1</v>
      </c>
      <c r="Q32" s="14" cm="1">
        <f t="array" ref="Q32">1/INDEX($R$21:$AK$21, 1, ROW(A11))</f>
        <v>1</v>
      </c>
      <c r="R32" s="14" cm="1">
        <f t="array" ref="R32">1/INDEX($S$22:$AK$22, 1, ROW(A10))</f>
        <v>1</v>
      </c>
      <c r="S32" s="14" cm="1">
        <f t="array" ref="S32">1/INDEX($T$23:$AK$23, 1, ROW(A9))</f>
        <v>1</v>
      </c>
      <c r="T32" s="14" cm="1">
        <f t="array" ref="T32">1/INDEX($U$24:$AK$24, 1, ROW(A8))</f>
        <v>1</v>
      </c>
      <c r="U32" s="14" cm="1">
        <f t="array" ref="U32">1/INDEX($V$25:$AK$25, 1, ROW(A7))</f>
        <v>0.5</v>
      </c>
      <c r="V32" s="14" cm="1">
        <f t="array" ref="V32">1/INDEX($W$26:$AK$26, 1, ROW(A6))</f>
        <v>1</v>
      </c>
      <c r="W32" s="14" cm="1">
        <f t="array" ref="W32">1/INDEX($X$27:$AK$27, 1, ROW(A5))</f>
        <v>2</v>
      </c>
      <c r="X32" s="14" cm="1">
        <f t="array" ref="X32">1/INDEX($Y$28:$AK$28, 1, ROW(A4))</f>
        <v>0.5</v>
      </c>
      <c r="Y32" s="14" cm="1">
        <f t="array" ref="Y32">1/INDEX($Z$29:$AK$29, 1, ROW(A3))</f>
        <v>0.5</v>
      </c>
      <c r="Z32" s="14" cm="1">
        <f t="array" ref="Z32">1/INDEX($AA$30:$AK$30, 1, ROW(A2))</f>
        <v>2</v>
      </c>
      <c r="AA32" s="14" cm="1">
        <f t="array" ref="AA32">1/INDEX($AB$31:$AK$31, 1, ROW(A1))</f>
        <v>0.5</v>
      </c>
      <c r="AB32" s="4">
        <v>1</v>
      </c>
      <c r="AC32" s="6">
        <f>1/2</f>
        <v>0.5</v>
      </c>
      <c r="AD32" s="6">
        <f>1/3</f>
        <v>0.33333333333333331</v>
      </c>
      <c r="AE32" s="6">
        <f>2</f>
        <v>2</v>
      </c>
      <c r="AF32" s="6">
        <f>3</f>
        <v>3</v>
      </c>
      <c r="AG32" s="6">
        <f>2</f>
        <v>2</v>
      </c>
      <c r="AH32" s="6">
        <f>5</f>
        <v>5</v>
      </c>
      <c r="AI32" s="6">
        <f>7</f>
        <v>7</v>
      </c>
      <c r="AJ32" s="6">
        <f>4</f>
        <v>4</v>
      </c>
      <c r="AK32" s="6">
        <f>3</f>
        <v>3</v>
      </c>
      <c r="AM32" s="14" t="str">
        <f t="shared" si="0"/>
        <v>Communicate to Resources</v>
      </c>
      <c r="AN32" s="6">
        <f t="shared" si="1"/>
        <v>3.9361134870851383E-2</v>
      </c>
      <c r="AP32" s="7">
        <f t="shared" si="36"/>
        <v>5.2356020942408363E-2</v>
      </c>
      <c r="AQ32" s="7">
        <f t="shared" si="37"/>
        <v>4.7999999999999994E-2</v>
      </c>
      <c r="AR32" s="7">
        <f t="shared" si="38"/>
        <v>2.7027027027027029E-2</v>
      </c>
      <c r="AS32" s="7">
        <f t="shared" si="39"/>
        <v>3.1712473572938694E-2</v>
      </c>
      <c r="AT32" s="7">
        <f t="shared" si="40"/>
        <v>3.1712473572938694E-2</v>
      </c>
      <c r="AU32" s="7">
        <f t="shared" si="41"/>
        <v>1.9920318725099601E-2</v>
      </c>
      <c r="AV32" s="7">
        <f t="shared" si="42"/>
        <v>2.1052631578947368E-2</v>
      </c>
      <c r="AW32" s="7">
        <f t="shared" si="43"/>
        <v>3.8461538461538464E-2</v>
      </c>
      <c r="AX32" s="7">
        <f t="shared" si="44"/>
        <v>3.3707865168539332E-2</v>
      </c>
      <c r="AY32" s="7">
        <f t="shared" si="45"/>
        <v>3.045685279187817E-2</v>
      </c>
      <c r="AZ32" s="7">
        <f t="shared" si="46"/>
        <v>3.5294117647058823E-2</v>
      </c>
      <c r="BA32" s="7">
        <f t="shared" si="47"/>
        <v>2.4390243902439025E-2</v>
      </c>
      <c r="BB32" s="7">
        <f t="shared" si="48"/>
        <v>3.9867109634551499E-2</v>
      </c>
      <c r="BC32" s="7">
        <f t="shared" si="49"/>
        <v>3.7499999999999999E-2</v>
      </c>
      <c r="BD32" s="7">
        <f t="shared" si="50"/>
        <v>1.6393442622950821E-2</v>
      </c>
      <c r="BE32" s="7">
        <f t="shared" si="51"/>
        <v>2.0833333333333332E-2</v>
      </c>
      <c r="BF32" s="7">
        <f t="shared" si="52"/>
        <v>5.9701492537313432E-2</v>
      </c>
      <c r="BG32" s="7">
        <f t="shared" si="53"/>
        <v>2.1067415730337078E-2</v>
      </c>
      <c r="BH32" s="7">
        <f t="shared" si="54"/>
        <v>1.4999999999999999E-2</v>
      </c>
      <c r="BI32" s="7">
        <f t="shared" si="55"/>
        <v>4.4776119402985072E-2</v>
      </c>
      <c r="BJ32" s="7">
        <f t="shared" si="56"/>
        <v>1.3605442176870748E-2</v>
      </c>
      <c r="BK32" s="7">
        <f t="shared" si="57"/>
        <v>3.1990250590296296E-2</v>
      </c>
      <c r="BL32" s="7">
        <f t="shared" si="58"/>
        <v>1.5544041450777204E-2</v>
      </c>
      <c r="BM32" s="7">
        <f t="shared" si="59"/>
        <v>8.2304526748971183E-3</v>
      </c>
      <c r="BN32" s="7">
        <f t="shared" si="60"/>
        <v>6.1224489795918373E-2</v>
      </c>
      <c r="BO32" s="7">
        <f t="shared" si="61"/>
        <v>7.2580645161290314E-2</v>
      </c>
      <c r="BP32" s="7">
        <f t="shared" si="62"/>
        <v>4.7393364928909949E-2</v>
      </c>
      <c r="BQ32" s="7">
        <f t="shared" si="63"/>
        <v>8.8967971530249101E-2</v>
      </c>
      <c r="BR32" s="7">
        <f t="shared" si="64"/>
        <v>0.10673443456162644</v>
      </c>
      <c r="BS32" s="7">
        <f t="shared" si="65"/>
        <v>7.3846153846153853E-2</v>
      </c>
      <c r="BT32" s="7">
        <f t="shared" si="66"/>
        <v>5.0847457627118647E-2</v>
      </c>
    </row>
    <row r="33" spans="5:72" x14ac:dyDescent="0.25">
      <c r="E33" s="14" t="s">
        <v>34</v>
      </c>
      <c r="F33" s="15">
        <f t="shared" si="35"/>
        <v>3.3904730681352573E-2</v>
      </c>
      <c r="G33" s="9" cm="1">
        <f t="array" ref="G33">1/INDEX($H$11:$AK$11, 1, ROW(A22))</f>
        <v>2</v>
      </c>
      <c r="H33" s="9" cm="1">
        <f t="array" ref="H33">1/INDEX($I$12:$AK$12, 1, ROW(A21))</f>
        <v>2</v>
      </c>
      <c r="I33" s="9" cm="1">
        <f t="array" ref="I33">1/INDEX($J$13:$AK$13, 1, ROW(A20))</f>
        <v>1</v>
      </c>
      <c r="J33" s="14" cm="1">
        <f t="array" ref="J33">1/INDEX($K$14:$AK$14, 1, ROW(A19))</f>
        <v>1</v>
      </c>
      <c r="K33" s="14" cm="1">
        <f t="array" ref="K33">1/INDEX($L$15:$AK$15, 1, ROW(A18))</f>
        <v>1</v>
      </c>
      <c r="L33" s="14" cm="1">
        <f t="array" ref="L33">1/INDEX($M$16:$AK$16, 1, ROW(A17))</f>
        <v>1</v>
      </c>
      <c r="M33" s="14" cm="1">
        <f t="array" ref="M33">1/INDEX($N$17:$AK$17, 1, ROW(A16))</f>
        <v>1</v>
      </c>
      <c r="N33" s="14" cm="1">
        <f t="array" ref="N33">1/INDEX($O$18:$AK$18, 1, ROW(A15))</f>
        <v>0.5</v>
      </c>
      <c r="O33" s="14" cm="1">
        <f t="array" ref="O33">1/INDEX($P$19:$AK$19, 1, ROW(A14))</f>
        <v>1</v>
      </c>
      <c r="P33" s="14" cm="1">
        <f t="array" ref="P33">1/INDEX($Q$20:$AK$20, 1, ROW(A13))</f>
        <v>1</v>
      </c>
      <c r="Q33" s="14" cm="1">
        <f t="array" ref="Q33">1/INDEX($R$21:$AK$21, 1, ROW(A12))</f>
        <v>1</v>
      </c>
      <c r="R33" s="14" cm="1">
        <f t="array" ref="R33">1/INDEX($S$22:$AK$22, 1, ROW(A11))</f>
        <v>1</v>
      </c>
      <c r="S33" s="14" cm="1">
        <f t="array" ref="S33">1/INDEX($T$23:$AK$23, 1, ROW(A10))</f>
        <v>1</v>
      </c>
      <c r="T33" s="14" cm="1">
        <f t="array" ref="T33">1/INDEX($U$24:$AK$24, 1, ROW(A9))</f>
        <v>1</v>
      </c>
      <c r="U33" s="14" cm="1">
        <f t="array" ref="U33">1/INDEX($V$25:$AK$25, 1, ROW(A8))</f>
        <v>0.5</v>
      </c>
      <c r="V33" s="14" cm="1">
        <f t="array" ref="V33">1/INDEX($W$26:$AK$26, 1, ROW(A7))</f>
        <v>1</v>
      </c>
      <c r="W33" s="14" cm="1">
        <f t="array" ref="W33">1/INDEX($X$27:$AK$27, 1, ROW(A6))</f>
        <v>2</v>
      </c>
      <c r="X33" s="14" cm="1">
        <f t="array" ref="X33">1/INDEX($Y$28:$AK$28, 1, ROW(A5))</f>
        <v>0.5</v>
      </c>
      <c r="Y33" s="14" cm="1">
        <f t="array" ref="Y33">1/INDEX($Z$29:$AK$29, 1, ROW(A4))</f>
        <v>0.5</v>
      </c>
      <c r="Z33" s="14" cm="1">
        <f t="array" ref="Z33">1/INDEX($AA$30:$AK$30, 1, ROW(A3))</f>
        <v>1</v>
      </c>
      <c r="AA33" s="14" cm="1">
        <f t="array" ref="AA33">1/INDEX($AB$31:$AK$31, 1, ROW(A2))</f>
        <v>0.33333333333333331</v>
      </c>
      <c r="AB33" s="14" cm="1">
        <f t="array" ref="AB33">1/INDEX($AC$32:$AK$32, 1, ROW(A1))</f>
        <v>2</v>
      </c>
      <c r="AC33" s="4">
        <v>1</v>
      </c>
      <c r="AD33" s="6">
        <f>1/2</f>
        <v>0.5</v>
      </c>
      <c r="AE33" s="6">
        <f>2</f>
        <v>2</v>
      </c>
      <c r="AF33" s="6">
        <f>2</f>
        <v>2</v>
      </c>
      <c r="AG33" s="6">
        <f>2</f>
        <v>2</v>
      </c>
      <c r="AH33" s="6">
        <f>3</f>
        <v>3</v>
      </c>
      <c r="AI33" s="6">
        <f>3</f>
        <v>3</v>
      </c>
      <c r="AJ33" s="6">
        <f>2</f>
        <v>2</v>
      </c>
      <c r="AK33" s="6">
        <f>2</f>
        <v>2</v>
      </c>
      <c r="AM33" s="14" t="str">
        <f t="shared" si="0"/>
        <v>Maintain Communication Among Assets</v>
      </c>
      <c r="AN33" s="6">
        <f t="shared" si="1"/>
        <v>3.3904730681352573E-2</v>
      </c>
      <c r="AP33" s="7">
        <f t="shared" si="36"/>
        <v>5.2356020942408363E-2</v>
      </c>
      <c r="AQ33" s="7">
        <f t="shared" si="37"/>
        <v>4.7999999999999994E-2</v>
      </c>
      <c r="AR33" s="7">
        <f t="shared" si="38"/>
        <v>2.7027027027027029E-2</v>
      </c>
      <c r="AS33" s="7">
        <f t="shared" si="39"/>
        <v>3.1712473572938694E-2</v>
      </c>
      <c r="AT33" s="7">
        <f t="shared" si="40"/>
        <v>3.1712473572938694E-2</v>
      </c>
      <c r="AU33" s="7">
        <f t="shared" si="41"/>
        <v>1.9920318725099601E-2</v>
      </c>
      <c r="AV33" s="7">
        <f t="shared" si="42"/>
        <v>2.1052631578947368E-2</v>
      </c>
      <c r="AW33" s="7">
        <f t="shared" si="43"/>
        <v>1.9230769230769232E-2</v>
      </c>
      <c r="AX33" s="7">
        <f t="shared" si="44"/>
        <v>3.3707865168539332E-2</v>
      </c>
      <c r="AY33" s="7">
        <f t="shared" si="45"/>
        <v>3.045685279187817E-2</v>
      </c>
      <c r="AZ33" s="7">
        <f t="shared" si="46"/>
        <v>3.5294117647058823E-2</v>
      </c>
      <c r="BA33" s="7">
        <f t="shared" si="47"/>
        <v>2.4390243902439025E-2</v>
      </c>
      <c r="BB33" s="7">
        <f t="shared" si="48"/>
        <v>3.9867109634551499E-2</v>
      </c>
      <c r="BC33" s="7">
        <f t="shared" si="49"/>
        <v>3.7499999999999999E-2</v>
      </c>
      <c r="BD33" s="7">
        <f t="shared" si="50"/>
        <v>1.6393442622950821E-2</v>
      </c>
      <c r="BE33" s="7">
        <f t="shared" si="51"/>
        <v>2.0833333333333332E-2</v>
      </c>
      <c r="BF33" s="7">
        <f t="shared" si="52"/>
        <v>5.9701492537313432E-2</v>
      </c>
      <c r="BG33" s="7">
        <f t="shared" si="53"/>
        <v>2.1067415730337078E-2</v>
      </c>
      <c r="BH33" s="7">
        <f t="shared" si="54"/>
        <v>1.4999999999999999E-2</v>
      </c>
      <c r="BI33" s="7">
        <f t="shared" si="55"/>
        <v>2.2388059701492536E-2</v>
      </c>
      <c r="BJ33" s="7">
        <f t="shared" si="56"/>
        <v>9.0702947845804991E-3</v>
      </c>
      <c r="BK33" s="7">
        <f t="shared" si="57"/>
        <v>6.3980501180592592E-2</v>
      </c>
      <c r="BL33" s="7">
        <f t="shared" si="58"/>
        <v>3.1088082901554407E-2</v>
      </c>
      <c r="BM33" s="7">
        <f t="shared" si="59"/>
        <v>1.2345679012345678E-2</v>
      </c>
      <c r="BN33" s="7">
        <f t="shared" si="60"/>
        <v>6.1224489795918373E-2</v>
      </c>
      <c r="BO33" s="7">
        <f t="shared" si="61"/>
        <v>4.8387096774193547E-2</v>
      </c>
      <c r="BP33" s="7">
        <f t="shared" si="62"/>
        <v>4.7393364928909949E-2</v>
      </c>
      <c r="BQ33" s="7">
        <f t="shared" si="63"/>
        <v>5.3380782918149454E-2</v>
      </c>
      <c r="BR33" s="7">
        <f t="shared" si="64"/>
        <v>4.5743329097839902E-2</v>
      </c>
      <c r="BS33" s="7">
        <f t="shared" si="65"/>
        <v>3.6923076923076927E-2</v>
      </c>
      <c r="BT33" s="7">
        <f t="shared" si="66"/>
        <v>3.3898305084745763E-2</v>
      </c>
    </row>
    <row r="34" spans="5:72" x14ac:dyDescent="0.25">
      <c r="E34" s="14" t="s">
        <v>35</v>
      </c>
      <c r="F34" s="15">
        <f t="shared" si="35"/>
        <v>3.1354935135464529E-2</v>
      </c>
      <c r="G34" s="9" cm="1">
        <f t="array" ref="G34">1/INDEX($H$11:$AK$11, 1, ROW(A23))</f>
        <v>3</v>
      </c>
      <c r="H34" s="9" cm="1">
        <f t="array" ref="H34">1/INDEX($I$12:$AK$12, 1, ROW(A22))</f>
        <v>2</v>
      </c>
      <c r="I34" s="9" cm="1">
        <f t="array" ref="I34">1/INDEX($J$13:$AK$13, 1, ROW(A21))</f>
        <v>1</v>
      </c>
      <c r="J34" s="14" cm="1">
        <f t="array" ref="J34">1/INDEX($K$14:$AK$14, 1, ROW(A20))</f>
        <v>1</v>
      </c>
      <c r="K34" s="14" cm="1">
        <f t="array" ref="K34">1/INDEX($L$15:$AK$15, 1, ROW(A19))</f>
        <v>1</v>
      </c>
      <c r="L34" s="14" cm="1">
        <f t="array" ref="L34">1/INDEX($M$16:$AK$16, 1, ROW(A18))</f>
        <v>1</v>
      </c>
      <c r="M34" s="14" cm="1">
        <f t="array" ref="M34">1/INDEX($N$17:$AK$17, 1, ROW(A17))</f>
        <v>1</v>
      </c>
      <c r="N34" s="14" cm="1">
        <f t="array" ref="N34">1/INDEX($O$18:$AK$18, 1, ROW(A16))</f>
        <v>0.33333333333333331</v>
      </c>
      <c r="O34" s="14" cm="1">
        <f t="array" ref="O34">1/INDEX($P$19:$AK$19, 1, ROW(A15))</f>
        <v>1</v>
      </c>
      <c r="P34" s="14" cm="1">
        <f t="array" ref="P34">1/INDEX($Q$20:$AK$20, 1, ROW(A14))</f>
        <v>1</v>
      </c>
      <c r="Q34" s="14" cm="1">
        <f t="array" ref="Q34">1/INDEX($R$21:$AK$21, 1, ROW(A13))</f>
        <v>1</v>
      </c>
      <c r="R34" s="14" cm="1">
        <f t="array" ref="R34">1/INDEX($S$22:$AK$22, 1, ROW(A12))</f>
        <v>1</v>
      </c>
      <c r="S34" s="14" cm="1">
        <f t="array" ref="S34">1/INDEX($T$23:$AK$23, 1, ROW(A11))</f>
        <v>1</v>
      </c>
      <c r="T34" s="14" cm="1">
        <f t="array" ref="T34">1/INDEX($U$24:$AK$24, 1, ROW(A10))</f>
        <v>1</v>
      </c>
      <c r="U34" s="14" cm="1">
        <f t="array" ref="U34">1/INDEX($V$25:$AK$25, 1, ROW(A9))</f>
        <v>0.5</v>
      </c>
      <c r="V34" s="14" cm="1">
        <f t="array" ref="V34">1/INDEX($W$26:$AK$26, 1, ROW(A8))</f>
        <v>1</v>
      </c>
      <c r="W34" s="14" cm="1">
        <f t="array" ref="W34">1/INDEX($X$27:$AK$27, 1, ROW(A7))</f>
        <v>2</v>
      </c>
      <c r="X34" s="14" cm="1">
        <f t="array" ref="X34">1/INDEX($Y$28:$AK$28, 1, ROW(A6))</f>
        <v>0.5</v>
      </c>
      <c r="Y34" s="14" cm="1">
        <f t="array" ref="Y34">1/INDEX($Z$29:$AK$29, 1, ROW(A5))</f>
        <v>0.5</v>
      </c>
      <c r="Z34" s="14" cm="1">
        <f t="array" ref="Z34">1/INDEX($AA$30:$AK$30, 1, ROW(A4))</f>
        <v>0.5</v>
      </c>
      <c r="AA34" s="14" cm="1">
        <f t="array" ref="AA34">1/INDEX($AB$31:$AK$31, 1, ROW(A3))</f>
        <v>0.25</v>
      </c>
      <c r="AB34" s="14" cm="1">
        <f t="array" ref="AB34">1/INDEX($AC$32:$AK$32, 1, ROW(A2))</f>
        <v>3</v>
      </c>
      <c r="AC34" s="14" cm="1">
        <f t="array" ref="AC34">1/INDEX($AD$33:$AK$33, 1, ROW(A1))</f>
        <v>2</v>
      </c>
      <c r="AD34" s="4">
        <v>1</v>
      </c>
      <c r="AE34" s="6">
        <f>1/3</f>
        <v>0.33333333333333331</v>
      </c>
      <c r="AF34" s="6">
        <f>1/3</f>
        <v>0.33333333333333331</v>
      </c>
      <c r="AG34" s="6">
        <f>1/2</f>
        <v>0.5</v>
      </c>
      <c r="AH34" s="6">
        <f>1</f>
        <v>1</v>
      </c>
      <c r="AI34" s="6">
        <f>2</f>
        <v>2</v>
      </c>
      <c r="AJ34" s="6">
        <f>2</f>
        <v>2</v>
      </c>
      <c r="AK34" s="6">
        <f>3</f>
        <v>3</v>
      </c>
      <c r="AM34" s="14" t="str">
        <f t="shared" si="0"/>
        <v>Maintain Communication Between Assets and C3</v>
      </c>
      <c r="AN34" s="6">
        <f t="shared" si="1"/>
        <v>3.1354935135464529E-2</v>
      </c>
      <c r="AP34" s="7">
        <f t="shared" si="36"/>
        <v>7.8534031413612551E-2</v>
      </c>
      <c r="AQ34" s="7">
        <f t="shared" si="37"/>
        <v>4.7999999999999994E-2</v>
      </c>
      <c r="AR34" s="7">
        <f t="shared" si="38"/>
        <v>2.7027027027027029E-2</v>
      </c>
      <c r="AS34" s="7">
        <f t="shared" si="39"/>
        <v>3.1712473572938694E-2</v>
      </c>
      <c r="AT34" s="7">
        <f t="shared" si="40"/>
        <v>3.1712473572938694E-2</v>
      </c>
      <c r="AU34" s="7">
        <f t="shared" si="41"/>
        <v>1.9920318725099601E-2</v>
      </c>
      <c r="AV34" s="7">
        <f t="shared" si="42"/>
        <v>2.1052631578947368E-2</v>
      </c>
      <c r="AW34" s="7">
        <f t="shared" si="43"/>
        <v>1.2820512820512822E-2</v>
      </c>
      <c r="AX34" s="7">
        <f t="shared" si="44"/>
        <v>3.3707865168539332E-2</v>
      </c>
      <c r="AY34" s="7">
        <f t="shared" si="45"/>
        <v>3.045685279187817E-2</v>
      </c>
      <c r="AZ34" s="7">
        <f t="shared" si="46"/>
        <v>3.5294117647058823E-2</v>
      </c>
      <c r="BA34" s="7">
        <f t="shared" si="47"/>
        <v>2.4390243902439025E-2</v>
      </c>
      <c r="BB34" s="7">
        <f t="shared" si="48"/>
        <v>3.9867109634551499E-2</v>
      </c>
      <c r="BC34" s="7">
        <f t="shared" si="49"/>
        <v>3.7499999999999999E-2</v>
      </c>
      <c r="BD34" s="7">
        <f t="shared" si="50"/>
        <v>1.6393442622950821E-2</v>
      </c>
      <c r="BE34" s="7">
        <f t="shared" si="51"/>
        <v>2.0833333333333332E-2</v>
      </c>
      <c r="BF34" s="7">
        <f t="shared" si="52"/>
        <v>5.9701492537313432E-2</v>
      </c>
      <c r="BG34" s="7">
        <f t="shared" si="53"/>
        <v>2.1067415730337078E-2</v>
      </c>
      <c r="BH34" s="7">
        <f t="shared" si="54"/>
        <v>1.4999999999999999E-2</v>
      </c>
      <c r="BI34" s="7">
        <f t="shared" si="55"/>
        <v>1.1194029850746268E-2</v>
      </c>
      <c r="BJ34" s="7">
        <f t="shared" si="56"/>
        <v>6.8027210884353739E-3</v>
      </c>
      <c r="BK34" s="7">
        <f t="shared" si="57"/>
        <v>9.5970751770888887E-2</v>
      </c>
      <c r="BL34" s="7">
        <f t="shared" si="58"/>
        <v>6.2176165803108814E-2</v>
      </c>
      <c r="BM34" s="7">
        <f t="shared" si="59"/>
        <v>2.4691358024691357E-2</v>
      </c>
      <c r="BN34" s="7">
        <f t="shared" si="60"/>
        <v>1.0204081632653062E-2</v>
      </c>
      <c r="BO34" s="7">
        <f t="shared" si="61"/>
        <v>8.0645161290322578E-3</v>
      </c>
      <c r="BP34" s="7">
        <f t="shared" si="62"/>
        <v>1.1848341232227487E-2</v>
      </c>
      <c r="BQ34" s="7">
        <f t="shared" si="63"/>
        <v>1.779359430604982E-2</v>
      </c>
      <c r="BR34" s="7">
        <f t="shared" si="64"/>
        <v>3.0495552731893267E-2</v>
      </c>
      <c r="BS34" s="7">
        <f t="shared" si="65"/>
        <v>3.6923076923076927E-2</v>
      </c>
      <c r="BT34" s="7">
        <f t="shared" si="66"/>
        <v>5.0847457627118647E-2</v>
      </c>
    </row>
    <row r="35" spans="5:72" x14ac:dyDescent="0.25">
      <c r="E35" s="14" t="s">
        <v>36</v>
      </c>
      <c r="F35" s="15">
        <f t="shared" si="35"/>
        <v>3.6581026614050528E-2</v>
      </c>
      <c r="G35" s="9" cm="1">
        <f t="array" ref="G35">1/INDEX($H$11:$AK$11, 1, ROW(A24))</f>
        <v>1</v>
      </c>
      <c r="H35" s="9" cm="1">
        <f t="array" ref="H35">1/INDEX($I$12:$AK$12, 1, ROW(A23))</f>
        <v>1</v>
      </c>
      <c r="I35" s="9" cm="1">
        <f t="array" ref="I35">1/INDEX($J$13:$AK$13, 1, ROW(A22))</f>
        <v>1</v>
      </c>
      <c r="J35" s="14" cm="1">
        <f t="array" ref="J35">1/INDEX($K$14:$AK$14, 1, ROW(A21))</f>
        <v>1</v>
      </c>
      <c r="K35" s="14" cm="1">
        <f t="array" ref="K35">1/INDEX($L$15:$AK$15, 1, ROW(A20))</f>
        <v>1</v>
      </c>
      <c r="L35" s="14" cm="1">
        <f t="array" ref="L35">1/INDEX($M$16:$AK$16, 1, ROW(A19))</f>
        <v>2</v>
      </c>
      <c r="M35" s="14" cm="1">
        <f t="array" ref="M35">1/INDEX($N$17:$AK$17, 1, ROW(A18))</f>
        <v>2</v>
      </c>
      <c r="N35" s="14" cm="1">
        <f t="array" ref="N35">1/INDEX($O$18:$AK$18, 1, ROW(A17))</f>
        <v>1</v>
      </c>
      <c r="O35" s="14" cm="1">
        <f t="array" ref="O35">1/INDEX($P$19:$AK$19, 1, ROW(A16))</f>
        <v>1</v>
      </c>
      <c r="P35" s="14" cm="1">
        <f t="array" ref="P35">1/INDEX($Q$20:$AK$20, 1, ROW(A15))</f>
        <v>1</v>
      </c>
      <c r="Q35" s="14" cm="1">
        <f t="array" ref="Q35">1/INDEX($R$21:$AK$21, 1, ROW(A14))</f>
        <v>1</v>
      </c>
      <c r="R35" s="14" cm="1">
        <f t="array" ref="R35">1/INDEX($S$22:$AK$22, 1, ROW(A13))</f>
        <v>2</v>
      </c>
      <c r="S35" s="14" cm="1">
        <f t="array" ref="S35">1/INDEX($T$23:$AK$23, 1, ROW(A12))</f>
        <v>0.5</v>
      </c>
      <c r="T35" s="14" cm="1">
        <f t="array" ref="T35">1/INDEX($U$24:$AK$24, 1, ROW(A11))</f>
        <v>1</v>
      </c>
      <c r="U35" s="14" cm="1">
        <f t="array" ref="U35">1/INDEX($V$25:$AK$25, 1, ROW(A10))</f>
        <v>2</v>
      </c>
      <c r="V35" s="14" cm="1">
        <f t="array" ref="V35">1/INDEX($W$26:$AK$26, 1, ROW(A9))</f>
        <v>2</v>
      </c>
      <c r="W35" s="14" cm="1">
        <f t="array" ref="W35">1/INDEX($X$27:$AK$27, 1, ROW(A8))</f>
        <v>0.5</v>
      </c>
      <c r="X35" s="14" cm="1">
        <f t="array" ref="X35">1/INDEX($Y$28:$AK$28, 1, ROW(A7))</f>
        <v>0.25</v>
      </c>
      <c r="Y35" s="14" cm="1">
        <f t="array" ref="Y35">1/INDEX($Z$29:$AK$29, 1, ROW(A6))</f>
        <v>2</v>
      </c>
      <c r="Z35" s="14" cm="1">
        <f t="array" ref="Z35">1/INDEX($AA$30:$AK$30, 1, ROW(A5))</f>
        <v>2</v>
      </c>
      <c r="AA35" s="14" cm="1">
        <f t="array" ref="AA35">1/INDEX($AB$31:$AK$31, 1, ROW(A4))</f>
        <v>0.5</v>
      </c>
      <c r="AB35" s="14" cm="1">
        <f t="array" ref="AB35">1/INDEX($AC$32:$AK$32, 1, ROW(A3))</f>
        <v>0.5</v>
      </c>
      <c r="AC35" s="14" cm="1">
        <f t="array" ref="AC35">1/INDEX($AD$33:$AK$33, 1, ROW(A2))</f>
        <v>0.5</v>
      </c>
      <c r="AD35" s="14" cm="1">
        <f t="array" ref="AD35">1/INDEX($AE$34:$AK$34, 1, ROW(A1))</f>
        <v>3</v>
      </c>
      <c r="AE35" s="4">
        <v>1</v>
      </c>
      <c r="AF35" s="6">
        <f>2</f>
        <v>2</v>
      </c>
      <c r="AG35" s="6">
        <f>1/2</f>
        <v>0.5</v>
      </c>
      <c r="AH35" s="6">
        <v>2</v>
      </c>
      <c r="AI35" s="6">
        <f>4</f>
        <v>4</v>
      </c>
      <c r="AJ35" s="6">
        <f>3</f>
        <v>3</v>
      </c>
      <c r="AK35" s="6">
        <v>4</v>
      </c>
      <c r="AM35" s="14" t="str">
        <f t="shared" si="0"/>
        <v>Deploy First Response Ground Assets</v>
      </c>
      <c r="AN35" s="6">
        <f t="shared" si="1"/>
        <v>3.6581026614050528E-2</v>
      </c>
      <c r="AP35" s="7">
        <f t="shared" si="36"/>
        <v>2.6178010471204181E-2</v>
      </c>
      <c r="AQ35" s="7">
        <f t="shared" si="37"/>
        <v>2.3999999999999997E-2</v>
      </c>
      <c r="AR35" s="7">
        <f t="shared" si="38"/>
        <v>2.7027027027027029E-2</v>
      </c>
      <c r="AS35" s="7">
        <f t="shared" si="39"/>
        <v>3.1712473572938694E-2</v>
      </c>
      <c r="AT35" s="7">
        <f t="shared" si="40"/>
        <v>3.1712473572938694E-2</v>
      </c>
      <c r="AU35" s="7">
        <f t="shared" si="41"/>
        <v>3.9840637450199202E-2</v>
      </c>
      <c r="AV35" s="7">
        <f t="shared" si="42"/>
        <v>4.2105263157894736E-2</v>
      </c>
      <c r="AW35" s="7">
        <f t="shared" si="43"/>
        <v>3.8461538461538464E-2</v>
      </c>
      <c r="AX35" s="7">
        <f t="shared" si="44"/>
        <v>3.3707865168539332E-2</v>
      </c>
      <c r="AY35" s="7">
        <f t="shared" si="45"/>
        <v>3.045685279187817E-2</v>
      </c>
      <c r="AZ35" s="7">
        <f t="shared" si="46"/>
        <v>3.5294117647058823E-2</v>
      </c>
      <c r="BA35" s="7">
        <f t="shared" si="47"/>
        <v>4.878048780487805E-2</v>
      </c>
      <c r="BB35" s="7">
        <f t="shared" si="48"/>
        <v>1.993355481727575E-2</v>
      </c>
      <c r="BC35" s="7">
        <f t="shared" si="49"/>
        <v>3.7499999999999999E-2</v>
      </c>
      <c r="BD35" s="7">
        <f t="shared" si="50"/>
        <v>6.5573770491803282E-2</v>
      </c>
      <c r="BE35" s="7">
        <f t="shared" si="51"/>
        <v>4.1666666666666664E-2</v>
      </c>
      <c r="BF35" s="7">
        <f t="shared" si="52"/>
        <v>1.4925373134328358E-2</v>
      </c>
      <c r="BG35" s="7">
        <f t="shared" si="53"/>
        <v>1.0533707865168539E-2</v>
      </c>
      <c r="BH35" s="7">
        <f t="shared" si="54"/>
        <v>0.06</v>
      </c>
      <c r="BI35" s="7">
        <f t="shared" si="55"/>
        <v>4.4776119402985072E-2</v>
      </c>
      <c r="BJ35" s="7">
        <f t="shared" si="56"/>
        <v>1.3605442176870748E-2</v>
      </c>
      <c r="BK35" s="7">
        <f t="shared" si="57"/>
        <v>1.5995125295148148E-2</v>
      </c>
      <c r="BL35" s="7">
        <f t="shared" si="58"/>
        <v>1.5544041450777204E-2</v>
      </c>
      <c r="BM35" s="7">
        <f t="shared" si="59"/>
        <v>7.407407407407407E-2</v>
      </c>
      <c r="BN35" s="7">
        <f t="shared" si="60"/>
        <v>3.0612244897959186E-2</v>
      </c>
      <c r="BO35" s="7">
        <f t="shared" si="61"/>
        <v>4.8387096774193547E-2</v>
      </c>
      <c r="BP35" s="7">
        <f t="shared" si="62"/>
        <v>1.1848341232227487E-2</v>
      </c>
      <c r="BQ35" s="7">
        <f t="shared" si="63"/>
        <v>3.5587188612099641E-2</v>
      </c>
      <c r="BR35" s="7">
        <f t="shared" si="64"/>
        <v>6.0991105463786534E-2</v>
      </c>
      <c r="BS35" s="7">
        <f t="shared" si="65"/>
        <v>5.5384615384615386E-2</v>
      </c>
      <c r="BT35" s="7">
        <f t="shared" si="66"/>
        <v>6.7796610169491525E-2</v>
      </c>
    </row>
    <row r="36" spans="5:72" x14ac:dyDescent="0.25">
      <c r="E36" s="14" t="s">
        <v>37</v>
      </c>
      <c r="F36" s="15">
        <f t="shared" si="35"/>
        <v>3.0378516175184535E-2</v>
      </c>
      <c r="G36" s="9" cm="1">
        <f t="array" ref="G36">1/INDEX($H$11:$AK$11, 1, ROW(A25))</f>
        <v>0.5</v>
      </c>
      <c r="H36" s="9" cm="1">
        <f t="array" ref="H36">1/INDEX($I$12:$AK$12, 1, ROW(A24))</f>
        <v>1</v>
      </c>
      <c r="I36" s="9" cm="1">
        <f t="array" ref="I36">1/INDEX($J$13:$AK$13, 1, ROW(A23))</f>
        <v>1</v>
      </c>
      <c r="J36" s="14" cm="1">
        <f t="array" ref="J36">1/INDEX($K$14:$AK$14, 1, ROW(A22))</f>
        <v>1</v>
      </c>
      <c r="K36" s="14" cm="1">
        <f t="array" ref="K36">1/INDEX($L$15:$AK$15, 1, ROW(A21))</f>
        <v>1</v>
      </c>
      <c r="L36" s="14" cm="1">
        <f t="array" ref="L36">1/INDEX($M$16:$AK$16, 1, ROW(A20))</f>
        <v>1</v>
      </c>
      <c r="M36" s="14" cm="1">
        <f t="array" ref="M36">1/INDEX($N$17:$AK$17, 1, ROW(A19))</f>
        <v>2</v>
      </c>
      <c r="N36" s="14" cm="1">
        <f t="array" ref="N36">1/INDEX($O$18:$AK$18, 1, ROW(A18))</f>
        <v>0.5</v>
      </c>
      <c r="O36" s="14" cm="1">
        <f t="array" ref="O36">1/INDEX($P$19:$AK$19, 1, ROW(A17))</f>
        <v>0.5</v>
      </c>
      <c r="P36" s="14" cm="1">
        <f t="array" ref="P36">1/INDEX($Q$20:$AK$20, 1, ROW(A16))</f>
        <v>1</v>
      </c>
      <c r="Q36" s="14" cm="1">
        <f t="array" ref="Q36">1/INDEX($R$21:$AK$21, 1, ROW(A15))</f>
        <v>1</v>
      </c>
      <c r="R36" s="14" cm="1">
        <f t="array" ref="R36">1/INDEX($S$22:$AK$22, 1, ROW(A14))</f>
        <v>2</v>
      </c>
      <c r="S36" s="14" cm="1">
        <f t="array" ref="S36">1/INDEX($T$23:$AK$23, 1, ROW(A13))</f>
        <v>0.5</v>
      </c>
      <c r="T36" s="14" cm="1">
        <f t="array" ref="T36">1/INDEX($U$24:$AK$24, 1, ROW(A12))</f>
        <v>0.5</v>
      </c>
      <c r="U36" s="14" cm="1">
        <f t="array" ref="U36">1/INDEX($V$25:$AK$25, 1, ROW(A11))</f>
        <v>1</v>
      </c>
      <c r="V36" s="14" cm="1">
        <f t="array" ref="V36">1/INDEX($W$26:$AK$26, 1, ROW(A10))</f>
        <v>3</v>
      </c>
      <c r="W36" s="14" cm="1">
        <f t="array" ref="W36">1/INDEX($X$27:$AK$27, 1, ROW(A9))</f>
        <v>0.33333333333333331</v>
      </c>
      <c r="X36" s="14" cm="1">
        <f t="array" ref="X36">1/INDEX($Y$28:$AK$28, 1, ROW(A8))</f>
        <v>0.25</v>
      </c>
      <c r="Y36" s="14" cm="1">
        <f t="array" ref="Y36">1/INDEX($Z$29:$AK$29, 1, ROW(A7))</f>
        <v>2</v>
      </c>
      <c r="Z36" s="14" cm="1">
        <f t="array" ref="Z36">1/INDEX($AA$30:$AK$30, 1, ROW(A6))</f>
        <v>3</v>
      </c>
      <c r="AA36" s="14" cm="1">
        <f t="array" ref="AA36">1/INDEX($AB$31:$AK$31, 1, ROW(A5))</f>
        <v>0.5</v>
      </c>
      <c r="AB36" s="14" cm="1">
        <f t="array" ref="AB36">1/INDEX($AC$32:$AK$32, 1, ROW(A4))</f>
        <v>0.33333333333333331</v>
      </c>
      <c r="AC36" s="14" cm="1">
        <f t="array" ref="AC36">1/INDEX($AD$33:$AK$33, 1, ROW(A3))</f>
        <v>0.5</v>
      </c>
      <c r="AD36" s="14" cm="1">
        <f t="array" ref="AD36">1/INDEX($AE$34:$AK$34, 1, ROW(A2))</f>
        <v>3</v>
      </c>
      <c r="AE36" s="14" cm="1">
        <f t="array" ref="AE36">1/INDEX($AF$35:$AK$35, 1, ROW(A1))</f>
        <v>0.5</v>
      </c>
      <c r="AF36" s="4">
        <v>1</v>
      </c>
      <c r="AG36" s="6">
        <f>1/2</f>
        <v>0.5</v>
      </c>
      <c r="AH36" s="6">
        <v>3</v>
      </c>
      <c r="AI36" s="6">
        <v>2</v>
      </c>
      <c r="AJ36" s="6">
        <v>2</v>
      </c>
      <c r="AK36" s="6">
        <v>2</v>
      </c>
      <c r="AM36" s="14" t="str">
        <f t="shared" si="0"/>
        <v>Deploy Smokejumpers</v>
      </c>
      <c r="AN36" s="6">
        <f t="shared" si="1"/>
        <v>3.0378516175184535E-2</v>
      </c>
      <c r="AP36" s="7">
        <f t="shared" si="36"/>
        <v>1.3089005235602091E-2</v>
      </c>
      <c r="AQ36" s="7">
        <f t="shared" si="37"/>
        <v>2.3999999999999997E-2</v>
      </c>
      <c r="AR36" s="7">
        <f t="shared" si="38"/>
        <v>2.7027027027027029E-2</v>
      </c>
      <c r="AS36" s="7">
        <f t="shared" si="39"/>
        <v>3.1712473572938694E-2</v>
      </c>
      <c r="AT36" s="7">
        <f t="shared" si="40"/>
        <v>3.1712473572938694E-2</v>
      </c>
      <c r="AU36" s="7">
        <f t="shared" si="41"/>
        <v>1.9920318725099601E-2</v>
      </c>
      <c r="AV36" s="7">
        <f t="shared" si="42"/>
        <v>4.2105263157894736E-2</v>
      </c>
      <c r="AW36" s="7">
        <f t="shared" si="43"/>
        <v>1.9230769230769232E-2</v>
      </c>
      <c r="AX36" s="7">
        <f t="shared" si="44"/>
        <v>1.6853932584269666E-2</v>
      </c>
      <c r="AY36" s="7">
        <f t="shared" si="45"/>
        <v>3.045685279187817E-2</v>
      </c>
      <c r="AZ36" s="7">
        <f t="shared" si="46"/>
        <v>3.5294117647058823E-2</v>
      </c>
      <c r="BA36" s="7">
        <f t="shared" si="47"/>
        <v>4.878048780487805E-2</v>
      </c>
      <c r="BB36" s="7">
        <f t="shared" si="48"/>
        <v>1.993355481727575E-2</v>
      </c>
      <c r="BC36" s="7">
        <f t="shared" si="49"/>
        <v>1.8749999999999999E-2</v>
      </c>
      <c r="BD36" s="7">
        <f t="shared" si="50"/>
        <v>3.2786885245901641E-2</v>
      </c>
      <c r="BE36" s="7">
        <f t="shared" si="51"/>
        <v>6.25E-2</v>
      </c>
      <c r="BF36" s="7">
        <f t="shared" si="52"/>
        <v>9.9502487562189053E-3</v>
      </c>
      <c r="BG36" s="7">
        <f t="shared" si="53"/>
        <v>1.0533707865168539E-2</v>
      </c>
      <c r="BH36" s="7">
        <f t="shared" si="54"/>
        <v>0.06</v>
      </c>
      <c r="BI36" s="7">
        <f t="shared" si="55"/>
        <v>6.7164179104477612E-2</v>
      </c>
      <c r="BJ36" s="7">
        <f t="shared" si="56"/>
        <v>1.3605442176870748E-2</v>
      </c>
      <c r="BK36" s="7">
        <f t="shared" si="57"/>
        <v>1.0663416863432097E-2</v>
      </c>
      <c r="BL36" s="7">
        <f t="shared" si="58"/>
        <v>1.5544041450777204E-2</v>
      </c>
      <c r="BM36" s="7">
        <f t="shared" si="59"/>
        <v>7.407407407407407E-2</v>
      </c>
      <c r="BN36" s="7">
        <f t="shared" si="60"/>
        <v>1.5306122448979593E-2</v>
      </c>
      <c r="BO36" s="7">
        <f t="shared" si="61"/>
        <v>2.4193548387096774E-2</v>
      </c>
      <c r="BP36" s="7">
        <f t="shared" si="62"/>
        <v>1.1848341232227487E-2</v>
      </c>
      <c r="BQ36" s="7">
        <f t="shared" si="63"/>
        <v>5.3380782918149454E-2</v>
      </c>
      <c r="BR36" s="7">
        <f t="shared" si="64"/>
        <v>3.0495552731893267E-2</v>
      </c>
      <c r="BS36" s="7">
        <f t="shared" si="65"/>
        <v>3.6923076923076927E-2</v>
      </c>
      <c r="BT36" s="7">
        <f t="shared" si="66"/>
        <v>3.3898305084745763E-2</v>
      </c>
    </row>
    <row r="37" spans="5:72" x14ac:dyDescent="0.25">
      <c r="E37" s="14" t="s">
        <v>38</v>
      </c>
      <c r="F37" s="15">
        <f t="shared" si="35"/>
        <v>3.0733450490907636E-2</v>
      </c>
      <c r="G37" s="9" cm="1">
        <f t="array" ref="G37">1/INDEX($H$11:$AK$11, 1, ROW(A26))</f>
        <v>0.33333333333333331</v>
      </c>
      <c r="H37" s="9" cm="1">
        <f t="array" ref="H37">1/INDEX($I$12:$AK$12, 1, ROW(A25))</f>
        <v>1</v>
      </c>
      <c r="I37" s="9" cm="1">
        <f t="array" ref="I37">1/INDEX($J$13:$AK$13, 1, ROW(A24))</f>
        <v>1</v>
      </c>
      <c r="J37" s="14" cm="1">
        <f t="array" ref="J37">1/INDEX($K$14:$AK$14, 1, ROW(A23))</f>
        <v>1</v>
      </c>
      <c r="K37" s="14" cm="1">
        <f t="array" ref="K37">1/INDEX($L$15:$AK$15, 1, ROW(A22))</f>
        <v>1</v>
      </c>
      <c r="L37" s="14" cm="1">
        <f t="array" ref="L37">1/INDEX($M$16:$AK$16, 1, ROW(A21))</f>
        <v>1</v>
      </c>
      <c r="M37" s="14" cm="1">
        <f t="array" ref="M37">1/INDEX($N$17:$AK$17, 1, ROW(A20))</f>
        <v>1</v>
      </c>
      <c r="N37" s="14" cm="1">
        <f t="array" ref="N37">1/INDEX($O$18:$AK$18, 1, ROW(A19))</f>
        <v>0.5</v>
      </c>
      <c r="O37" s="14" cm="1">
        <f t="array" ref="O37">1/INDEX($P$19:$AK$19, 1, ROW(A18))</f>
        <v>0.5</v>
      </c>
      <c r="P37" s="14" cm="1">
        <f t="array" ref="P37">1/INDEX($Q$20:$AK$20, 1, ROW(A17))</f>
        <v>1</v>
      </c>
      <c r="Q37" s="14" cm="1">
        <f t="array" ref="Q37">1/INDEX($R$21:$AK$21, 1, ROW(A16))</f>
        <v>1</v>
      </c>
      <c r="R37" s="14" cm="1">
        <f t="array" ref="R37">1/INDEX($S$22:$AK$22, 1, ROW(A15))</f>
        <v>0.5</v>
      </c>
      <c r="S37" s="14" cm="1">
        <f t="array" ref="S37">1/INDEX($T$23:$AK$23, 1, ROW(A14))</f>
        <v>0.5</v>
      </c>
      <c r="T37" s="14" cm="1">
        <f t="array" ref="T37">1/INDEX($U$24:$AK$24, 1, ROW(A13))</f>
        <v>0.5</v>
      </c>
      <c r="U37" s="14" cm="1">
        <f t="array" ref="U37">1/INDEX($V$25:$AK$25, 1, ROW(A12))</f>
        <v>2</v>
      </c>
      <c r="V37" s="14" cm="1">
        <f t="array" ref="V37">1/INDEX($W$26:$AK$26, 1, ROW(A11))</f>
        <v>1</v>
      </c>
      <c r="W37" s="14" cm="1">
        <f t="array" ref="W37">1/INDEX($X$27:$AK$27, 1, ROW(A10))</f>
        <v>0.33333333333333331</v>
      </c>
      <c r="X37" s="14" cm="1">
        <f t="array" ref="X37">1/INDEX($Y$28:$AK$28, 1, ROW(A9))</f>
        <v>0.16666666666666666</v>
      </c>
      <c r="Y37" s="14" cm="1">
        <f t="array" ref="Y37">1/INDEX($Z$29:$AK$29, 1, ROW(A8))</f>
        <v>2</v>
      </c>
      <c r="Z37" s="14" cm="1">
        <f t="array" ref="Z37">1/INDEX($AA$30:$AK$30, 1, ROW(A7))</f>
        <v>5</v>
      </c>
      <c r="AA37" s="14" cm="1">
        <f t="array" ref="AA37">1/INDEX($AB$31:$AK$31, 1, ROW(A6))</f>
        <v>1</v>
      </c>
      <c r="AB37" s="14" cm="1">
        <f t="array" ref="AB37">1/INDEX($AC$32:$AK$32, 1, ROW(A5))</f>
        <v>0.5</v>
      </c>
      <c r="AC37" s="14" cm="1">
        <f t="array" ref="AC37">1/INDEX($AD$33:$AK$33, 1, ROW(A4))</f>
        <v>0.5</v>
      </c>
      <c r="AD37" s="14" cm="1">
        <f t="array" ref="AD37">1/INDEX($AE$34:$AK$34, 1, ROW(A3))</f>
        <v>2</v>
      </c>
      <c r="AE37" s="14" cm="1">
        <f t="array" ref="AE37">1/INDEX($AF$35:$AK$35, 1, ROW(A2))</f>
        <v>2</v>
      </c>
      <c r="AF37" s="14" cm="1">
        <f t="array" ref="AF37">1/INDEX($AG$36:$AK$36, 1, ROW(A1))</f>
        <v>2</v>
      </c>
      <c r="AG37" s="4">
        <v>1</v>
      </c>
      <c r="AH37" s="6">
        <f>1</f>
        <v>1</v>
      </c>
      <c r="AI37" s="6">
        <v>2</v>
      </c>
      <c r="AJ37" s="6">
        <f>2</f>
        <v>2</v>
      </c>
      <c r="AK37" s="6">
        <f>2</f>
        <v>2</v>
      </c>
      <c r="AM37" s="14" t="str">
        <f t="shared" si="0"/>
        <v>Activate MAFFS</v>
      </c>
      <c r="AN37" s="6">
        <f t="shared" si="1"/>
        <v>3.0733450490907636E-2</v>
      </c>
      <c r="AP37" s="7">
        <f t="shared" si="36"/>
        <v>8.7260034904013926E-3</v>
      </c>
      <c r="AQ37" s="7">
        <f t="shared" si="37"/>
        <v>2.3999999999999997E-2</v>
      </c>
      <c r="AR37" s="7">
        <f t="shared" si="38"/>
        <v>2.7027027027027029E-2</v>
      </c>
      <c r="AS37" s="7">
        <f t="shared" si="39"/>
        <v>3.1712473572938694E-2</v>
      </c>
      <c r="AT37" s="7">
        <f t="shared" si="40"/>
        <v>3.1712473572938694E-2</v>
      </c>
      <c r="AU37" s="7">
        <f t="shared" si="41"/>
        <v>1.9920318725099601E-2</v>
      </c>
      <c r="AV37" s="7">
        <f t="shared" si="42"/>
        <v>2.1052631578947368E-2</v>
      </c>
      <c r="AW37" s="7">
        <f t="shared" si="43"/>
        <v>1.9230769230769232E-2</v>
      </c>
      <c r="AX37" s="7">
        <f t="shared" si="44"/>
        <v>1.6853932584269666E-2</v>
      </c>
      <c r="AY37" s="7">
        <f t="shared" si="45"/>
        <v>3.045685279187817E-2</v>
      </c>
      <c r="AZ37" s="7">
        <f t="shared" si="46"/>
        <v>3.5294117647058823E-2</v>
      </c>
      <c r="BA37" s="7">
        <f t="shared" si="47"/>
        <v>1.2195121951219513E-2</v>
      </c>
      <c r="BB37" s="7">
        <f t="shared" si="48"/>
        <v>1.993355481727575E-2</v>
      </c>
      <c r="BC37" s="7">
        <f t="shared" si="49"/>
        <v>1.8749999999999999E-2</v>
      </c>
      <c r="BD37" s="7">
        <f t="shared" si="50"/>
        <v>6.5573770491803282E-2</v>
      </c>
      <c r="BE37" s="7">
        <f t="shared" si="51"/>
        <v>2.0833333333333332E-2</v>
      </c>
      <c r="BF37" s="7">
        <f t="shared" si="52"/>
        <v>9.9502487562189053E-3</v>
      </c>
      <c r="BG37" s="7">
        <f t="shared" si="53"/>
        <v>7.0224719101123585E-3</v>
      </c>
      <c r="BH37" s="7">
        <f t="shared" si="54"/>
        <v>0.06</v>
      </c>
      <c r="BI37" s="7">
        <f t="shared" si="55"/>
        <v>0.11194029850746268</v>
      </c>
      <c r="BJ37" s="7">
        <f t="shared" si="56"/>
        <v>2.7210884353741496E-2</v>
      </c>
      <c r="BK37" s="7">
        <f t="shared" si="57"/>
        <v>1.5995125295148148E-2</v>
      </c>
      <c r="BL37" s="7">
        <f t="shared" si="58"/>
        <v>1.5544041450777204E-2</v>
      </c>
      <c r="BM37" s="7">
        <f t="shared" si="59"/>
        <v>4.9382716049382713E-2</v>
      </c>
      <c r="BN37" s="7">
        <f t="shared" si="60"/>
        <v>6.1224489795918373E-2</v>
      </c>
      <c r="BO37" s="7">
        <f t="shared" si="61"/>
        <v>4.8387096774193547E-2</v>
      </c>
      <c r="BP37" s="7">
        <f t="shared" si="62"/>
        <v>2.3696682464454975E-2</v>
      </c>
      <c r="BQ37" s="7">
        <f t="shared" si="63"/>
        <v>1.779359430604982E-2</v>
      </c>
      <c r="BR37" s="7">
        <f t="shared" si="64"/>
        <v>3.0495552731893267E-2</v>
      </c>
      <c r="BS37" s="7">
        <f t="shared" si="65"/>
        <v>3.6923076923076927E-2</v>
      </c>
      <c r="BT37" s="7">
        <f t="shared" si="66"/>
        <v>3.3898305084745763E-2</v>
      </c>
    </row>
    <row r="38" spans="5:72" x14ac:dyDescent="0.25">
      <c r="E38" s="14" t="s">
        <v>39</v>
      </c>
      <c r="F38" s="15">
        <f t="shared" si="35"/>
        <v>2.6263481976814225E-2</v>
      </c>
      <c r="G38" s="9" cm="1">
        <f t="array" ref="G38">1/INDEX($H$11:$AK$11, 1, ROW(A27))</f>
        <v>0.5</v>
      </c>
      <c r="H38" s="9" cm="1">
        <f t="array" ref="H38">1/INDEX($I$12:$AK$12, 1, ROW(A26))</f>
        <v>0.5</v>
      </c>
      <c r="I38" s="9" cm="1">
        <f t="array" ref="I38">1/INDEX($J$13:$AK$13, 1, ROW(A25))</f>
        <v>1</v>
      </c>
      <c r="J38" s="14" cm="1">
        <f t="array" ref="J38">1/INDEX($K$14:$AK$14, 1, ROW(A24))</f>
        <v>0.33333333333333331</v>
      </c>
      <c r="K38" s="14" cm="1">
        <f t="array" ref="K38">1/INDEX($L$15:$AK$15, 1, ROW(A23))</f>
        <v>0.33333333333333331</v>
      </c>
      <c r="L38" s="14" cm="1">
        <f t="array" ref="L38">1/INDEX($M$16:$AK$16, 1, ROW(A22))</f>
        <v>1</v>
      </c>
      <c r="M38" s="14" cm="1">
        <f t="array" ref="M38">1/INDEX($N$17:$AK$17, 1, ROW(A21))</f>
        <v>1</v>
      </c>
      <c r="N38" s="14" cm="1">
        <f t="array" ref="N38">1/INDEX($O$18:$AK$18, 1, ROW(A20))</f>
        <v>0.5</v>
      </c>
      <c r="O38" s="14" cm="1">
        <f t="array" ref="O38">1/INDEX($P$19:$AK$19, 1, ROW(A19))</f>
        <v>1</v>
      </c>
      <c r="P38" s="14" cm="1">
        <f t="array" ref="P38">1/INDEX($Q$20:$AK$20, 1, ROW(A18))</f>
        <v>1</v>
      </c>
      <c r="Q38" s="14" cm="1">
        <f t="array" ref="Q38">1/INDEX($R$21:$AK$21, 1, ROW(A17))</f>
        <v>1</v>
      </c>
      <c r="R38" s="14" cm="1">
        <f t="array" ref="R38">1/INDEX($S$22:$AK$22, 1, ROW(A16))</f>
        <v>2</v>
      </c>
      <c r="S38" s="14" cm="1">
        <f t="array" ref="S38">1/INDEX($T$23:$AK$23, 1, ROW(A15))</f>
        <v>0.5</v>
      </c>
      <c r="T38" s="14" cm="1">
        <f t="array" ref="T38">1/INDEX($U$24:$AK$24, 1, ROW(A14))</f>
        <v>0.5</v>
      </c>
      <c r="U38" s="14" cm="1">
        <f t="array" ref="U38">1/INDEX($V$25:$AK$25, 1, ROW(A13))</f>
        <v>0.5</v>
      </c>
      <c r="V38" s="14" cm="1">
        <f t="array" ref="V38">1/INDEX($W$26:$AK$26, 1, ROW(A12))</f>
        <v>5</v>
      </c>
      <c r="W38" s="14" cm="1">
        <f t="array" ref="W38">1/INDEX($X$27:$AK$27, 1, ROW(A11))</f>
        <v>0.33333333333333331</v>
      </c>
      <c r="X38" s="14" cm="1">
        <f t="array" ref="X38">1/INDEX($Y$28:$AK$28, 1, ROW(A10))</f>
        <v>0.16666666666666666</v>
      </c>
      <c r="Y38" s="14" cm="1">
        <f t="array" ref="Y38">1/INDEX($Z$29:$AK$29, 1, ROW(A9))</f>
        <v>0.33333333333333331</v>
      </c>
      <c r="Z38" s="14" cm="1">
        <f t="array" ref="Z38">1/INDEX($AA$30:$AK$30, 1, ROW(A8))</f>
        <v>3</v>
      </c>
      <c r="AA38" s="14" cm="1">
        <f t="array" ref="AA38">1/INDEX($AB$31:$AK$31, 1, ROW(A7))</f>
        <v>3</v>
      </c>
      <c r="AB38" s="14" cm="1">
        <f t="array" ref="AB38">1/INDEX($AC$32:$AK$32, 1, ROW(A6))</f>
        <v>0.2</v>
      </c>
      <c r="AC38" s="14" cm="1">
        <f t="array" ref="AC38">1/INDEX($AD$33:$AK$33, 1, ROW(A5))</f>
        <v>0.33333333333333331</v>
      </c>
      <c r="AD38" s="14" cm="1">
        <f t="array" ref="AD38">1/INDEX($AE$34:$AK$34, 1, ROW(A4))</f>
        <v>1</v>
      </c>
      <c r="AE38" s="14" cm="1">
        <f t="array" ref="AE38">1/INDEX($AF$35:$AK$35, 1, ROW(A3))</f>
        <v>0.5</v>
      </c>
      <c r="AF38" s="14" cm="1">
        <f t="array" ref="AF38">1/INDEX($AG$36:$AK$36, 1, ROW(A2))</f>
        <v>0.33333333333333331</v>
      </c>
      <c r="AG38" s="14" cm="1">
        <f t="array" ref="AG38">1/INDEX($AH$37:$AK$37, 1, ROW(A1))</f>
        <v>1</v>
      </c>
      <c r="AH38" s="4">
        <v>1</v>
      </c>
      <c r="AI38" s="6">
        <f>3</f>
        <v>3</v>
      </c>
      <c r="AJ38" s="6">
        <f>2</f>
        <v>2</v>
      </c>
      <c r="AK38" s="6">
        <f>1/2</f>
        <v>0.5</v>
      </c>
      <c r="AM38" s="14" t="str">
        <f t="shared" si="0"/>
        <v>Refuel Airborne Assets</v>
      </c>
      <c r="AN38" s="6">
        <f t="shared" si="1"/>
        <v>2.6263481976814225E-2</v>
      </c>
      <c r="AP38" s="7">
        <f t="shared" si="36"/>
        <v>1.3089005235602091E-2</v>
      </c>
      <c r="AQ38" s="7">
        <f t="shared" si="37"/>
        <v>1.1999999999999999E-2</v>
      </c>
      <c r="AR38" s="7">
        <f t="shared" si="38"/>
        <v>2.7027027027027029E-2</v>
      </c>
      <c r="AS38" s="7">
        <f t="shared" si="39"/>
        <v>1.0570824524312898E-2</v>
      </c>
      <c r="AT38" s="7">
        <f t="shared" si="40"/>
        <v>1.0570824524312898E-2</v>
      </c>
      <c r="AU38" s="7">
        <f t="shared" si="41"/>
        <v>1.9920318725099601E-2</v>
      </c>
      <c r="AV38" s="7">
        <f t="shared" si="42"/>
        <v>2.1052631578947368E-2</v>
      </c>
      <c r="AW38" s="7">
        <f t="shared" si="43"/>
        <v>1.9230769230769232E-2</v>
      </c>
      <c r="AX38" s="7">
        <f t="shared" si="44"/>
        <v>3.3707865168539332E-2</v>
      </c>
      <c r="AY38" s="7">
        <f t="shared" si="45"/>
        <v>3.045685279187817E-2</v>
      </c>
      <c r="AZ38" s="7">
        <f t="shared" si="46"/>
        <v>3.5294117647058823E-2</v>
      </c>
      <c r="BA38" s="7">
        <f t="shared" si="47"/>
        <v>4.878048780487805E-2</v>
      </c>
      <c r="BB38" s="7">
        <f t="shared" si="48"/>
        <v>1.993355481727575E-2</v>
      </c>
      <c r="BC38" s="7">
        <f t="shared" si="49"/>
        <v>1.8749999999999999E-2</v>
      </c>
      <c r="BD38" s="7">
        <f t="shared" si="50"/>
        <v>1.6393442622950821E-2</v>
      </c>
      <c r="BE38" s="7">
        <f t="shared" si="51"/>
        <v>0.10416666666666667</v>
      </c>
      <c r="BF38" s="7">
        <f t="shared" si="52"/>
        <v>9.9502487562189053E-3</v>
      </c>
      <c r="BG38" s="7">
        <f t="shared" si="53"/>
        <v>7.0224719101123585E-3</v>
      </c>
      <c r="BH38" s="7">
        <f t="shared" si="54"/>
        <v>9.9999999999999985E-3</v>
      </c>
      <c r="BI38" s="7">
        <f t="shared" si="55"/>
        <v>6.7164179104477612E-2</v>
      </c>
      <c r="BJ38" s="7">
        <f t="shared" si="56"/>
        <v>8.1632653061224483E-2</v>
      </c>
      <c r="BK38" s="7">
        <f t="shared" si="57"/>
        <v>6.3980501180592592E-3</v>
      </c>
      <c r="BL38" s="7">
        <f t="shared" si="58"/>
        <v>1.0362694300518135E-2</v>
      </c>
      <c r="BM38" s="7">
        <f t="shared" si="59"/>
        <v>2.4691358024691357E-2</v>
      </c>
      <c r="BN38" s="7">
        <f t="shared" si="60"/>
        <v>1.5306122448979593E-2</v>
      </c>
      <c r="BO38" s="7">
        <f t="shared" si="61"/>
        <v>8.0645161290322578E-3</v>
      </c>
      <c r="BP38" s="7">
        <f t="shared" si="62"/>
        <v>2.3696682464454975E-2</v>
      </c>
      <c r="BQ38" s="7">
        <f t="shared" si="63"/>
        <v>1.779359430604982E-2</v>
      </c>
      <c r="BR38" s="7">
        <f t="shared" si="64"/>
        <v>4.5743329097839902E-2</v>
      </c>
      <c r="BS38" s="7">
        <f t="shared" si="65"/>
        <v>3.6923076923076927E-2</v>
      </c>
      <c r="BT38" s="7">
        <f t="shared" si="66"/>
        <v>8.4745762711864406E-3</v>
      </c>
    </row>
    <row r="39" spans="5:72" x14ac:dyDescent="0.25">
      <c r="E39" s="14" t="s">
        <v>40</v>
      </c>
      <c r="F39" s="15">
        <f t="shared" si="35"/>
        <v>2.2408033484555234E-2</v>
      </c>
      <c r="G39" s="9" cm="1">
        <f t="array" ref="G39">1/INDEX($H$11:$AK$11, 1, ROW(A28))</f>
        <v>0.33333333333333331</v>
      </c>
      <c r="H39" s="9" cm="1">
        <f t="array" ref="H39">1/INDEX($I$12:$AK$12, 1, ROW(A27))</f>
        <v>0.5</v>
      </c>
      <c r="I39" s="9" cm="1">
        <f t="array" ref="I39">1/INDEX($J$13:$AK$13, 1, ROW(A26))</f>
        <v>1</v>
      </c>
      <c r="J39" s="14" cm="1">
        <f t="array" ref="J39">1/INDEX($K$14:$AK$14, 1, ROW(A25))</f>
        <v>0.33333333333333331</v>
      </c>
      <c r="K39" s="14" cm="1">
        <f t="array" ref="K39">1/INDEX($L$15:$AK$15, 1, ROW(A24))</f>
        <v>0.33333333333333331</v>
      </c>
      <c r="L39" s="14" cm="1">
        <f t="array" ref="L39">1/INDEX($M$16:$AK$16, 1, ROW(A23))</f>
        <v>1</v>
      </c>
      <c r="M39" s="14" cm="1">
        <f t="array" ref="M39">1/INDEX($N$17:$AK$17, 1, ROW(A22))</f>
        <v>1</v>
      </c>
      <c r="N39" s="14" cm="1">
        <f t="array" ref="N39">1/INDEX($O$18:$AK$18, 1, ROW(A21))</f>
        <v>1</v>
      </c>
      <c r="O39" s="14" cm="1">
        <f t="array" ref="O39">1/INDEX($P$19:$AK$19, 1, ROW(A20))</f>
        <v>1</v>
      </c>
      <c r="P39" s="14" cm="1">
        <f t="array" ref="P39">1/INDEX($Q$20:$AK$20, 1, ROW(A19))</f>
        <v>1</v>
      </c>
      <c r="Q39" s="14" cm="1">
        <f t="array" ref="Q39">1/INDEX($R$21:$AK$21, 1, ROW(A18))</f>
        <v>1</v>
      </c>
      <c r="R39" s="14" cm="1">
        <f t="array" ref="R39">1/INDEX($S$22:$AK$22, 1, ROW(A17))</f>
        <v>2</v>
      </c>
      <c r="S39" s="14" cm="1">
        <f t="array" ref="S39">1/INDEX($T$23:$AK$23, 1, ROW(A16))</f>
        <v>0.5</v>
      </c>
      <c r="T39" s="14" cm="1">
        <f t="array" ref="T39">1/INDEX($U$24:$AK$24, 1, ROW(A15))</f>
        <v>0.5</v>
      </c>
      <c r="U39" s="14" cm="1">
        <f t="array" ref="U39">1/INDEX($V$25:$AK$25, 1, ROW(A14))</f>
        <v>0.5</v>
      </c>
      <c r="V39" s="14" cm="1">
        <f t="array" ref="V39">1/INDEX($W$26:$AK$26, 1, ROW(A13))</f>
        <v>3</v>
      </c>
      <c r="W39" s="14" cm="1">
        <f t="array" ref="W39">1/INDEX($X$27:$AK$27, 1, ROW(A12))</f>
        <v>0.5</v>
      </c>
      <c r="X39" s="14" cm="1">
        <f t="array" ref="X39">1/INDEX($Y$28:$AK$28, 1, ROW(A11))</f>
        <v>0.16666666666666666</v>
      </c>
      <c r="Y39" s="14" cm="1">
        <f t="array" ref="Y39">1/INDEX($Z$29:$AK$29, 1, ROW(A10))</f>
        <v>0.33333333333333331</v>
      </c>
      <c r="Z39" s="14" cm="1">
        <f t="array" ref="Z39">1/INDEX($AA$30:$AK$30, 1, ROW(A9))</f>
        <v>2</v>
      </c>
      <c r="AA39" s="14" cm="1">
        <f t="array" ref="AA39">1/INDEX($AB$31:$AK$31, 1, ROW(A8))</f>
        <v>4</v>
      </c>
      <c r="AB39" s="14" cm="1">
        <f t="array" ref="AB39">1/INDEX($AC$32:$AK$32, 1, ROW(A7))</f>
        <v>0.14285714285714285</v>
      </c>
      <c r="AC39" s="14" cm="1">
        <f t="array" ref="AC39">1/INDEX($AD$33:$AK$33, 1, ROW(A6))</f>
        <v>0.33333333333333331</v>
      </c>
      <c r="AD39" s="14" cm="1">
        <f t="array" ref="AD39">1/INDEX($AE$34:$AK$34, 1, ROW(A5))</f>
        <v>0.5</v>
      </c>
      <c r="AE39" s="14" cm="1">
        <f t="array" ref="AE39">1/INDEX($AF$35:$AK$35, 1, ROW(A4))</f>
        <v>0.25</v>
      </c>
      <c r="AF39" s="14" cm="1">
        <f t="array" ref="AF39">1/INDEX($AG$36:$AK$36, 1, ROW(A3))</f>
        <v>0.5</v>
      </c>
      <c r="AG39" s="14" cm="1">
        <f t="array" ref="AG39">1/INDEX($AH$37:$AK$37, 1, ROW(A2))</f>
        <v>0.5</v>
      </c>
      <c r="AH39" s="14" cm="1">
        <f t="array" ref="AH39">1/INDEX($AI$38:$AK$38, 1, ROW(A1))</f>
        <v>0.33333333333333331</v>
      </c>
      <c r="AI39" s="4">
        <v>1</v>
      </c>
      <c r="AJ39" s="6">
        <f>1/2</f>
        <v>0.5</v>
      </c>
      <c r="AK39" s="6">
        <f>1/3</f>
        <v>0.33333333333333331</v>
      </c>
      <c r="AM39" s="14" t="str">
        <f t="shared" si="0"/>
        <v>Provide MRO for Assets</v>
      </c>
      <c r="AN39" s="6">
        <f t="shared" si="1"/>
        <v>2.2408033484555234E-2</v>
      </c>
      <c r="AP39" s="7">
        <f t="shared" si="36"/>
        <v>8.7260034904013926E-3</v>
      </c>
      <c r="AQ39" s="7">
        <f t="shared" si="37"/>
        <v>1.1999999999999999E-2</v>
      </c>
      <c r="AR39" s="7">
        <f t="shared" si="38"/>
        <v>2.7027027027027029E-2</v>
      </c>
      <c r="AS39" s="7">
        <f t="shared" si="39"/>
        <v>1.0570824524312898E-2</v>
      </c>
      <c r="AT39" s="7">
        <f t="shared" si="40"/>
        <v>1.0570824524312898E-2</v>
      </c>
      <c r="AU39" s="7">
        <f t="shared" si="41"/>
        <v>1.9920318725099601E-2</v>
      </c>
      <c r="AV39" s="7">
        <f t="shared" si="42"/>
        <v>2.1052631578947368E-2</v>
      </c>
      <c r="AW39" s="7">
        <f t="shared" si="43"/>
        <v>3.8461538461538464E-2</v>
      </c>
      <c r="AX39" s="7">
        <f t="shared" si="44"/>
        <v>3.3707865168539332E-2</v>
      </c>
      <c r="AY39" s="7">
        <f t="shared" si="45"/>
        <v>3.045685279187817E-2</v>
      </c>
      <c r="AZ39" s="7">
        <f t="shared" si="46"/>
        <v>3.5294117647058823E-2</v>
      </c>
      <c r="BA39" s="7">
        <f t="shared" si="47"/>
        <v>4.878048780487805E-2</v>
      </c>
      <c r="BB39" s="7">
        <f t="shared" si="48"/>
        <v>1.993355481727575E-2</v>
      </c>
      <c r="BC39" s="7">
        <f t="shared" si="49"/>
        <v>1.8749999999999999E-2</v>
      </c>
      <c r="BD39" s="7">
        <f t="shared" si="50"/>
        <v>1.6393442622950821E-2</v>
      </c>
      <c r="BE39" s="7">
        <f t="shared" si="51"/>
        <v>6.25E-2</v>
      </c>
      <c r="BF39" s="7">
        <f t="shared" si="52"/>
        <v>1.4925373134328358E-2</v>
      </c>
      <c r="BG39" s="7">
        <f t="shared" si="53"/>
        <v>7.0224719101123585E-3</v>
      </c>
      <c r="BH39" s="7">
        <f t="shared" si="54"/>
        <v>9.9999999999999985E-3</v>
      </c>
      <c r="BI39" s="7">
        <f t="shared" si="55"/>
        <v>4.4776119402985072E-2</v>
      </c>
      <c r="BJ39" s="7">
        <f t="shared" si="56"/>
        <v>0.10884353741496598</v>
      </c>
      <c r="BK39" s="7">
        <f t="shared" si="57"/>
        <v>4.5700357986137559E-3</v>
      </c>
      <c r="BL39" s="7">
        <f t="shared" si="58"/>
        <v>1.0362694300518135E-2</v>
      </c>
      <c r="BM39" s="7">
        <f t="shared" si="59"/>
        <v>1.2345679012345678E-2</v>
      </c>
      <c r="BN39" s="7">
        <f t="shared" si="60"/>
        <v>7.6530612244897966E-3</v>
      </c>
      <c r="BO39" s="7">
        <f t="shared" si="61"/>
        <v>1.2096774193548387E-2</v>
      </c>
      <c r="BP39" s="7">
        <f t="shared" si="62"/>
        <v>1.1848341232227487E-2</v>
      </c>
      <c r="BQ39" s="7">
        <f t="shared" si="63"/>
        <v>5.9311981020166056E-3</v>
      </c>
      <c r="BR39" s="7">
        <f t="shared" si="64"/>
        <v>1.5247776365946633E-2</v>
      </c>
      <c r="BS39" s="7">
        <f t="shared" si="65"/>
        <v>9.2307692307692316E-3</v>
      </c>
      <c r="BT39" s="7">
        <f t="shared" si="66"/>
        <v>5.6497175141242938E-3</v>
      </c>
    </row>
    <row r="40" spans="5:72" x14ac:dyDescent="0.25">
      <c r="E40" s="14" t="s">
        <v>41</v>
      </c>
      <c r="F40" s="15">
        <f t="shared" si="35"/>
        <v>2.3252979689870171E-2</v>
      </c>
      <c r="G40" s="9" cm="1">
        <f t="array" ref="G40">1/INDEX($H$11:$AK$11, 1, ROW(A29))</f>
        <v>0.33333333333333331</v>
      </c>
      <c r="H40" s="9" cm="1">
        <f t="array" ref="H40">1/INDEX($I$12:$AK$12, 1, ROW(A28))</f>
        <v>0.5</v>
      </c>
      <c r="I40" s="9" cm="1">
        <f t="array" ref="I40">1/INDEX($J$13:$AK$13, 1, ROW(A27))</f>
        <v>1</v>
      </c>
      <c r="J40" s="14" cm="1">
        <f t="array" ref="J40">1/INDEX($K$14:$AK$14, 1, ROW(A26))</f>
        <v>0.5</v>
      </c>
      <c r="K40" s="14" cm="1">
        <f t="array" ref="K40">1/INDEX($L$15:$AK$15, 1, ROW(A25))</f>
        <v>0.5</v>
      </c>
      <c r="L40" s="14" cm="1">
        <f t="array" ref="L40">1/INDEX($M$16:$AK$16, 1, ROW(A24))</f>
        <v>1</v>
      </c>
      <c r="M40" s="14" cm="1">
        <f t="array" ref="M40">1/INDEX($N$17:$AK$17, 1, ROW(A23))</f>
        <v>1</v>
      </c>
      <c r="N40" s="14" cm="1">
        <f t="array" ref="N40">1/INDEX($O$18:$AK$18, 1, ROW(A22))</f>
        <v>1</v>
      </c>
      <c r="O40" s="14" cm="1">
        <f t="array" ref="O40">1/INDEX($P$19:$AK$19, 1, ROW(A21))</f>
        <v>1</v>
      </c>
      <c r="P40" s="14" cm="1">
        <f t="array" ref="P40">1/INDEX($Q$20:$AK$20, 1, ROW(A20))</f>
        <v>1</v>
      </c>
      <c r="Q40" s="14" cm="1">
        <f t="array" ref="Q40">1/INDEX($R$21:$AK$21, 1, ROW(A19))</f>
        <v>1</v>
      </c>
      <c r="R40" s="14" cm="1">
        <f t="array" ref="R40">1/INDEX($S$22:$AK$22, 1, ROW(A18))</f>
        <v>2</v>
      </c>
      <c r="S40" s="14" cm="1">
        <f t="array" ref="S40">1/INDEX($T$23:$AK$23, 1, ROW(A17))</f>
        <v>0.5</v>
      </c>
      <c r="T40" s="14" cm="1">
        <f t="array" ref="T40">1/INDEX($U$24:$AK$24, 1, ROW(A16))</f>
        <v>0.5</v>
      </c>
      <c r="U40" s="14" cm="1">
        <f t="array" ref="U40">1/INDEX($V$25:$AK$25, 1, ROW(A15))</f>
        <v>0.5</v>
      </c>
      <c r="V40" s="14" cm="1">
        <f t="array" ref="V40">1/INDEX($W$26:$AK$26, 1, ROW(A14))</f>
        <v>3</v>
      </c>
      <c r="W40" s="14" cm="1">
        <f t="array" ref="W40">1/INDEX($X$27:$AK$27, 1, ROW(A13))</f>
        <v>0.5</v>
      </c>
      <c r="X40" s="14" cm="1">
        <f t="array" ref="X40">1/INDEX($Y$28:$AK$28, 1, ROW(A12))</f>
        <v>0.2</v>
      </c>
      <c r="Y40" s="14" cm="1">
        <f t="array" ref="Y40">1/INDEX($Z$29:$AK$29, 1, ROW(A11))</f>
        <v>0.33333333333333331</v>
      </c>
      <c r="Z40" s="14" cm="1">
        <f t="array" ref="Z40">1/INDEX($AA$30:$AK$30, 1, ROW(A10))</f>
        <v>2</v>
      </c>
      <c r="AA40" s="14" cm="1">
        <f t="array" ref="AA40">1/INDEX($AB$31:$AK$31, 1, ROW(A9))</f>
        <v>3</v>
      </c>
      <c r="AB40" s="14" cm="1">
        <f t="array" ref="AB40">1/INDEX($AC$32:$AK$32, 1, ROW(A8))</f>
        <v>0.25</v>
      </c>
      <c r="AC40" s="14" cm="1">
        <f t="array" ref="AC40">1/INDEX($AD$33:$AK$33, 1, ROW(A7))</f>
        <v>0.5</v>
      </c>
      <c r="AD40" s="14" cm="1">
        <f t="array" ref="AD40">1/INDEX($AE$34:$AK$34, 1, ROW(A6))</f>
        <v>0.5</v>
      </c>
      <c r="AE40" s="14" cm="1">
        <f t="array" ref="AE40">1/INDEX($AF$35:$AK$35, 1, ROW(A5))</f>
        <v>0.33333333333333331</v>
      </c>
      <c r="AF40" s="14" cm="1">
        <f t="array" ref="AF40">1/INDEX($AG$36:$AK$36, 1, ROW(A4))</f>
        <v>0.5</v>
      </c>
      <c r="AG40" s="14" cm="1">
        <f t="array" ref="AG40">1/INDEX($AH$37:$AK$37, 1, ROW(A3))</f>
        <v>0.5</v>
      </c>
      <c r="AH40" s="14" cm="1">
        <f t="array" ref="AH40">1/INDEX($AI$38:$AK$38, 1, ROW(A2))</f>
        <v>0.5</v>
      </c>
      <c r="AI40" s="14" cm="1">
        <f t="array" ref="AI40">1/INDEX($AJ$39:$AK$39, 1, ROW(A1))</f>
        <v>2</v>
      </c>
      <c r="AJ40" s="4">
        <v>1</v>
      </c>
      <c r="AK40" s="6">
        <v>0.5</v>
      </c>
      <c r="AM40" s="14" t="str">
        <f t="shared" si="0"/>
        <v>Refill Water and Fire Retardants</v>
      </c>
      <c r="AN40" s="6">
        <f t="shared" si="1"/>
        <v>2.3252979689870171E-2</v>
      </c>
      <c r="AP40" s="7">
        <f t="shared" si="36"/>
        <v>8.7260034904013926E-3</v>
      </c>
      <c r="AQ40" s="7">
        <f t="shared" si="37"/>
        <v>1.1999999999999999E-2</v>
      </c>
      <c r="AR40" s="7">
        <f t="shared" si="38"/>
        <v>2.7027027027027029E-2</v>
      </c>
      <c r="AS40" s="7">
        <f t="shared" si="39"/>
        <v>1.5856236786469347E-2</v>
      </c>
      <c r="AT40" s="7">
        <f t="shared" si="40"/>
        <v>1.5856236786469347E-2</v>
      </c>
      <c r="AU40" s="7">
        <f t="shared" si="41"/>
        <v>1.9920318725099601E-2</v>
      </c>
      <c r="AV40" s="7">
        <f t="shared" si="42"/>
        <v>2.1052631578947368E-2</v>
      </c>
      <c r="AW40" s="7">
        <f t="shared" si="43"/>
        <v>3.8461538461538464E-2</v>
      </c>
      <c r="AX40" s="7">
        <f t="shared" si="44"/>
        <v>3.3707865168539332E-2</v>
      </c>
      <c r="AY40" s="7">
        <f t="shared" si="45"/>
        <v>3.045685279187817E-2</v>
      </c>
      <c r="AZ40" s="7">
        <f t="shared" si="46"/>
        <v>3.5294117647058823E-2</v>
      </c>
      <c r="BA40" s="7">
        <f t="shared" si="47"/>
        <v>4.878048780487805E-2</v>
      </c>
      <c r="BB40" s="7">
        <f t="shared" si="48"/>
        <v>1.993355481727575E-2</v>
      </c>
      <c r="BC40" s="7">
        <f t="shared" si="49"/>
        <v>1.8749999999999999E-2</v>
      </c>
      <c r="BD40" s="7">
        <f t="shared" si="50"/>
        <v>1.6393442622950821E-2</v>
      </c>
      <c r="BE40" s="7">
        <f t="shared" si="51"/>
        <v>6.25E-2</v>
      </c>
      <c r="BF40" s="7">
        <f t="shared" si="52"/>
        <v>1.4925373134328358E-2</v>
      </c>
      <c r="BG40" s="7">
        <f t="shared" si="53"/>
        <v>8.4269662921348312E-3</v>
      </c>
      <c r="BH40" s="7">
        <f t="shared" si="54"/>
        <v>9.9999999999999985E-3</v>
      </c>
      <c r="BI40" s="7">
        <f t="shared" si="55"/>
        <v>4.4776119402985072E-2</v>
      </c>
      <c r="BJ40" s="7">
        <f t="shared" si="56"/>
        <v>8.1632653061224483E-2</v>
      </c>
      <c r="BK40" s="7">
        <f t="shared" si="57"/>
        <v>7.997562647574074E-3</v>
      </c>
      <c r="BL40" s="7">
        <f t="shared" si="58"/>
        <v>1.5544041450777204E-2</v>
      </c>
      <c r="BM40" s="7">
        <f t="shared" si="59"/>
        <v>1.2345679012345678E-2</v>
      </c>
      <c r="BN40" s="7">
        <f t="shared" si="60"/>
        <v>1.0204081632653062E-2</v>
      </c>
      <c r="BO40" s="7">
        <f t="shared" si="61"/>
        <v>1.2096774193548387E-2</v>
      </c>
      <c r="BP40" s="7">
        <f t="shared" si="62"/>
        <v>1.1848341232227487E-2</v>
      </c>
      <c r="BQ40" s="7">
        <f t="shared" si="63"/>
        <v>8.8967971530249101E-3</v>
      </c>
      <c r="BR40" s="7">
        <f t="shared" si="64"/>
        <v>3.0495552731893267E-2</v>
      </c>
      <c r="BS40" s="7">
        <f t="shared" si="65"/>
        <v>1.8461538461538463E-2</v>
      </c>
      <c r="BT40" s="7">
        <f t="shared" si="66"/>
        <v>8.4745762711864406E-3</v>
      </c>
    </row>
    <row r="41" spans="5:72" x14ac:dyDescent="0.25">
      <c r="E41" s="14" t="s">
        <v>42</v>
      </c>
      <c r="F41" s="15">
        <f t="shared" si="35"/>
        <v>2.3586871315252209E-2</v>
      </c>
      <c r="G41" s="9" cm="1">
        <f t="array" ref="G41">1/INDEX($H$11:$AK$11, 1, ROW(A30))</f>
        <v>0.2</v>
      </c>
      <c r="H41" s="9" cm="1">
        <f t="array" ref="H41">1/INDEX($I$12:$AK$12, 1, ROW(A29))</f>
        <v>0.33333333333333331</v>
      </c>
      <c r="I41" s="9" cm="1">
        <f t="array" ref="I41">1/INDEX($J$13:$AK$13, 1, ROW(A28))</f>
        <v>0.5</v>
      </c>
      <c r="J41" s="14" cm="1">
        <f t="array" ref="J41">1/INDEX($K$14:$AK$14, 1, ROW(A27))</f>
        <v>0.33333333333333331</v>
      </c>
      <c r="K41" s="14" cm="1">
        <f t="array" ref="K41">1/INDEX($L$15:$AK$15, 1, ROW(A26))</f>
        <v>0.33333333333333331</v>
      </c>
      <c r="L41" s="14" cm="1">
        <f t="array" ref="L41">1/INDEX($M$16:$AK$16, 1, ROW(A25))</f>
        <v>2</v>
      </c>
      <c r="M41" s="14" cm="1">
        <f t="array" ref="M41">1/INDEX($N$17:$AK$17, 1, ROW(A24))</f>
        <v>1</v>
      </c>
      <c r="N41" s="14" cm="1">
        <f t="array" ref="N41">1/INDEX($O$18:$AK$18, 1, ROW(A23))</f>
        <v>0.5</v>
      </c>
      <c r="O41" s="14" cm="1">
        <f t="array" ref="O41">1/INDEX($P$19:$AK$19, 1, ROW(A22))</f>
        <v>1</v>
      </c>
      <c r="P41" s="14" cm="1">
        <f t="array" ref="P41">1/INDEX($Q$20:$AK$20, 1, ROW(A21))</f>
        <v>1</v>
      </c>
      <c r="Q41" s="14" cm="1">
        <f t="array" ref="Q41">1/INDEX($R$21:$AK$21, 1, ROW(A20))</f>
        <v>1</v>
      </c>
      <c r="R41" s="14" cm="1">
        <f t="array" ref="R41">1/INDEX($S$22:$AK$22, 1, ROW(A19))</f>
        <v>2</v>
      </c>
      <c r="S41" s="14" cm="1">
        <f t="array" ref="S41">1/INDEX($T$23:$AK$23, 1, ROW(A18))</f>
        <v>0.5</v>
      </c>
      <c r="T41" s="14" cm="1">
        <f t="array" ref="T41">1/INDEX($U$24:$AK$24, 1, ROW(A17))</f>
        <v>0.33333333333333331</v>
      </c>
      <c r="U41" s="14" cm="1">
        <f t="array" ref="U41">1/INDEX($V$25:$AK$25, 1, ROW(A16))</f>
        <v>0.5</v>
      </c>
      <c r="V41" s="14" cm="1">
        <f t="array" ref="V41">1/INDEX($W$26:$AK$26, 1, ROW(A15))</f>
        <v>3</v>
      </c>
      <c r="W41" s="14" cm="1">
        <f t="array" ref="W41">1/INDEX($X$27:$AK$27, 1, ROW(A14))</f>
        <v>0.5</v>
      </c>
      <c r="X41" s="14" cm="1">
        <f t="array" ref="X41">1/INDEX($Y$28:$AK$28, 1, ROW(A13))</f>
        <v>0.2</v>
      </c>
      <c r="Y41" s="14" cm="1">
        <f t="array" ref="Y41">1/INDEX($Z$29:$AK$29, 1, ROW(A12))</f>
        <v>0.5</v>
      </c>
      <c r="Z41" s="14" cm="1">
        <f t="array" ref="Z41">1/INDEX($AA$30:$AK$30, 1, ROW(A11))</f>
        <v>1</v>
      </c>
      <c r="AA41" s="14" cm="1">
        <f t="array" ref="AA41">1/INDEX($AB$31:$AK$31, 1, ROW(A10))</f>
        <v>3</v>
      </c>
      <c r="AB41" s="14" cm="1">
        <f t="array" ref="AB41">1/INDEX($AC$32:$AK$32, 1, ROW(A9))</f>
        <v>0.33333333333333331</v>
      </c>
      <c r="AC41" s="14" cm="1">
        <f t="array" ref="AC41">1/INDEX($AD$33:$AK$33, 1, ROW(A8))</f>
        <v>0.5</v>
      </c>
      <c r="AD41" s="14" cm="1">
        <f t="array" ref="AD41">1/INDEX($AE$34:$AK$34, 1, ROW(A7))</f>
        <v>0.33333333333333331</v>
      </c>
      <c r="AE41" s="14" cm="1">
        <f t="array" ref="AE41">1/INDEX($AF$35:$AK$35, 1, ROW(A6))</f>
        <v>0.25</v>
      </c>
      <c r="AF41" s="14" cm="1">
        <f t="array" ref="AF41">1/INDEX($AG$36:$AK$36, 1, ROW(A5))</f>
        <v>0.5</v>
      </c>
      <c r="AG41" s="14" cm="1">
        <f t="array" ref="AG41">1/INDEX($AH$37:$AK$37, 1, ROW(A4))</f>
        <v>0.5</v>
      </c>
      <c r="AH41" s="14" cm="1">
        <f t="array" ref="AH41">1/INDEX($AI$38:$AK$38, 1, ROW(A3))</f>
        <v>2</v>
      </c>
      <c r="AI41" s="14" cm="1">
        <f t="array" ref="AI41">1/INDEX($AJ$39:$AK$39, 1, ROW(A2))</f>
        <v>3</v>
      </c>
      <c r="AJ41" s="14" cm="1">
        <f t="array" ref="AJ41">1/INDEX($AK$40:$AK$40, 1, ROW(A1))</f>
        <v>2</v>
      </c>
      <c r="AK41" s="4">
        <v>1</v>
      </c>
      <c r="AM41" s="14" t="str">
        <f t="shared" si="0"/>
        <v>Provide Logistic Support to Crews</v>
      </c>
      <c r="AN41" s="6">
        <f t="shared" si="1"/>
        <v>2.3586871315252209E-2</v>
      </c>
      <c r="AP41" s="7">
        <f t="shared" si="36"/>
        <v>5.2356020942408363E-3</v>
      </c>
      <c r="AQ41" s="7">
        <f t="shared" si="37"/>
        <v>7.9999999999999984E-3</v>
      </c>
      <c r="AR41" s="7">
        <f t="shared" si="38"/>
        <v>1.3513513513513514E-2</v>
      </c>
      <c r="AS41" s="7">
        <f t="shared" si="39"/>
        <v>1.0570824524312898E-2</v>
      </c>
      <c r="AT41" s="7">
        <f t="shared" si="40"/>
        <v>1.0570824524312898E-2</v>
      </c>
      <c r="AU41" s="7">
        <f t="shared" si="41"/>
        <v>3.9840637450199202E-2</v>
      </c>
      <c r="AV41" s="7">
        <f t="shared" si="42"/>
        <v>2.1052631578947368E-2</v>
      </c>
      <c r="AW41" s="7">
        <f t="shared" si="43"/>
        <v>1.9230769230769232E-2</v>
      </c>
      <c r="AX41" s="7">
        <f t="shared" si="44"/>
        <v>3.3707865168539332E-2</v>
      </c>
      <c r="AY41" s="7">
        <f t="shared" si="45"/>
        <v>3.045685279187817E-2</v>
      </c>
      <c r="AZ41" s="7">
        <f t="shared" si="46"/>
        <v>3.5294117647058823E-2</v>
      </c>
      <c r="BA41" s="7">
        <f t="shared" si="47"/>
        <v>4.878048780487805E-2</v>
      </c>
      <c r="BB41" s="7">
        <f t="shared" si="48"/>
        <v>1.993355481727575E-2</v>
      </c>
      <c r="BC41" s="7">
        <f t="shared" si="49"/>
        <v>1.2499999999999999E-2</v>
      </c>
      <c r="BD41" s="7">
        <f t="shared" si="50"/>
        <v>1.6393442622950821E-2</v>
      </c>
      <c r="BE41" s="7">
        <f t="shared" si="51"/>
        <v>6.25E-2</v>
      </c>
      <c r="BF41" s="7">
        <f t="shared" si="52"/>
        <v>1.4925373134328358E-2</v>
      </c>
      <c r="BG41" s="7">
        <f t="shared" si="53"/>
        <v>8.4269662921348312E-3</v>
      </c>
      <c r="BH41" s="7">
        <f t="shared" si="54"/>
        <v>1.4999999999999999E-2</v>
      </c>
      <c r="BI41" s="7">
        <f t="shared" si="55"/>
        <v>2.2388059701492536E-2</v>
      </c>
      <c r="BJ41" s="7">
        <f t="shared" si="56"/>
        <v>8.1632653061224483E-2</v>
      </c>
      <c r="BK41" s="7">
        <f t="shared" si="57"/>
        <v>1.0663416863432097E-2</v>
      </c>
      <c r="BL41" s="7">
        <f t="shared" si="58"/>
        <v>1.5544041450777204E-2</v>
      </c>
      <c r="BM41" s="7">
        <f t="shared" si="59"/>
        <v>8.2304526748971183E-3</v>
      </c>
      <c r="BN41" s="7">
        <f t="shared" si="60"/>
        <v>7.6530612244897966E-3</v>
      </c>
      <c r="BO41" s="7">
        <f t="shared" si="61"/>
        <v>1.2096774193548387E-2</v>
      </c>
      <c r="BP41" s="7">
        <f t="shared" si="62"/>
        <v>1.1848341232227487E-2</v>
      </c>
      <c r="BQ41" s="7">
        <f t="shared" si="63"/>
        <v>3.5587188612099641E-2</v>
      </c>
      <c r="BR41" s="7">
        <f t="shared" si="64"/>
        <v>4.5743329097839902E-2</v>
      </c>
      <c r="BS41" s="7">
        <f t="shared" si="65"/>
        <v>3.6923076923076927E-2</v>
      </c>
      <c r="BT41" s="7">
        <f t="shared" si="66"/>
        <v>1.6949152542372881E-2</v>
      </c>
    </row>
    <row r="42" spans="5:72" x14ac:dyDescent="0.25">
      <c r="F42" s="30">
        <f>SUM(F11:F41)</f>
        <v>0.99999999999999956</v>
      </c>
    </row>
  </sheetData>
  <autoFilter ref="AM10:AN41" xr:uid="{E78342B6-FDBE-4BF4-92C6-E1B0DA04876A}">
    <sortState xmlns:xlrd2="http://schemas.microsoft.com/office/spreadsheetml/2017/richdata2" ref="AM11:AN41">
      <sortCondition descending="1" ref="AN10:AN41"/>
    </sortState>
  </autoFilter>
  <mergeCells count="3">
    <mergeCell ref="B2:C2"/>
    <mergeCell ref="E4:E5"/>
    <mergeCell ref="E6:E7"/>
  </mergeCells>
  <phoneticPr fontId="4" type="noConversion"/>
  <conditionalFormatting sqref="AN11:AN41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pageSetup orientation="portrait" r:id="rId1"/>
  <headerFooter>
    <oddFooter>&amp;C_x000D_&amp;1#&amp;"Calibri"&amp;10&amp;K000000 Non-Sensitive</oddFooter>
  </headerFooter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A76A79-05E5-4309-BFFA-005428D3E1AA}">
  <dimension ref="A1:I34"/>
  <sheetViews>
    <sheetView workbookViewId="0">
      <selection activeCell="I22" sqref="I22"/>
    </sheetView>
  </sheetViews>
  <sheetFormatPr defaultRowHeight="15" x14ac:dyDescent="0.25"/>
  <cols>
    <col min="2" max="2" width="78.28515625" bestFit="1" customWidth="1"/>
    <col min="4" max="4" width="45.28515625" bestFit="1" customWidth="1"/>
    <col min="5" max="5" width="9.7109375" bestFit="1" customWidth="1"/>
    <col min="6" max="6" width="72.28515625" bestFit="1" customWidth="1"/>
    <col min="8" max="8" width="45.28515625" bestFit="1" customWidth="1"/>
  </cols>
  <sheetData>
    <row r="1" spans="1:9" x14ac:dyDescent="0.25">
      <c r="A1" s="17" t="s">
        <v>60</v>
      </c>
    </row>
    <row r="2" spans="1:9" x14ac:dyDescent="0.25">
      <c r="A2" s="17"/>
    </row>
    <row r="3" spans="1:9" x14ac:dyDescent="0.25">
      <c r="A3" s="24" t="s">
        <v>64</v>
      </c>
      <c r="B3" s="24" t="s">
        <v>3</v>
      </c>
      <c r="D3" s="22" t="s">
        <v>68</v>
      </c>
      <c r="E3" s="22" t="s">
        <v>69</v>
      </c>
      <c r="F3" s="22" t="s">
        <v>70</v>
      </c>
      <c r="H3" s="24" t="s">
        <v>68</v>
      </c>
      <c r="I3" s="24" t="s">
        <v>587</v>
      </c>
    </row>
    <row r="4" spans="1:9" x14ac:dyDescent="0.25">
      <c r="A4" s="19" t="s">
        <v>61</v>
      </c>
      <c r="B4" s="19" t="s">
        <v>67</v>
      </c>
      <c r="D4" s="23" t="s">
        <v>12</v>
      </c>
      <c r="E4" s="19" t="s">
        <v>61</v>
      </c>
      <c r="F4" s="6" t="s">
        <v>71</v>
      </c>
      <c r="H4" s="14" t="str">
        <f>'Function Criticality'!E28</f>
        <v>Build Real Time Situational Awareness</v>
      </c>
      <c r="I4" s="31">
        <f>'Function Criticality'!F28</f>
        <v>5.3081244119198394E-2</v>
      </c>
    </row>
    <row r="5" spans="1:9" x14ac:dyDescent="0.25">
      <c r="A5" s="20" t="s">
        <v>62</v>
      </c>
      <c r="B5" s="20" t="s">
        <v>65</v>
      </c>
      <c r="D5" s="23" t="s">
        <v>13</v>
      </c>
      <c r="E5" s="19" t="s">
        <v>61</v>
      </c>
      <c r="F5" s="6" t="s">
        <v>72</v>
      </c>
      <c r="H5" s="14" t="str">
        <f>'Function Criticality'!E23</f>
        <v>Detect Fires</v>
      </c>
      <c r="I5" s="31">
        <f>'Function Criticality'!F23</f>
        <v>4.1210308517620045E-2</v>
      </c>
    </row>
    <row r="6" spans="1:9" x14ac:dyDescent="0.25">
      <c r="A6" s="21" t="s">
        <v>63</v>
      </c>
      <c r="B6" s="21" t="s">
        <v>66</v>
      </c>
      <c r="D6" s="23" t="s">
        <v>14</v>
      </c>
      <c r="E6" s="19" t="s">
        <v>61</v>
      </c>
      <c r="F6" s="6" t="s">
        <v>73</v>
      </c>
      <c r="H6" s="14" t="str">
        <f>'Function Criticality'!E32</f>
        <v>Communicate to Resources</v>
      </c>
      <c r="I6" s="31">
        <f>'Function Criticality'!F32</f>
        <v>3.9361134870851383E-2</v>
      </c>
    </row>
    <row r="7" spans="1:9" x14ac:dyDescent="0.25">
      <c r="D7" s="23" t="s">
        <v>19</v>
      </c>
      <c r="E7" s="19" t="s">
        <v>61</v>
      </c>
      <c r="F7" s="6" t="s">
        <v>74</v>
      </c>
      <c r="H7" s="14" t="str">
        <f>'Function Criticality'!E24</f>
        <v>Visually Confirm Fires</v>
      </c>
      <c r="I7" s="31">
        <f>'Function Criticality'!F24</f>
        <v>3.7248096380557004E-2</v>
      </c>
    </row>
    <row r="8" spans="1:9" x14ac:dyDescent="0.25">
      <c r="A8" s="17" t="s">
        <v>102</v>
      </c>
      <c r="B8" t="s">
        <v>103</v>
      </c>
      <c r="D8" s="23" t="s">
        <v>23</v>
      </c>
      <c r="E8" s="19" t="s">
        <v>61</v>
      </c>
      <c r="F8" s="6" t="s">
        <v>75</v>
      </c>
      <c r="H8" s="14" t="str">
        <f>'Function Criticality'!E25</f>
        <v>Predict Fire Paths/Behavior</v>
      </c>
      <c r="I8" s="31">
        <f>'Function Criticality'!F25</f>
        <v>3.7095432935786217E-2</v>
      </c>
    </row>
    <row r="9" spans="1:9" x14ac:dyDescent="0.25">
      <c r="D9" s="23" t="s">
        <v>26</v>
      </c>
      <c r="E9" s="19" t="s">
        <v>61</v>
      </c>
      <c r="F9" s="6" t="s">
        <v>76</v>
      </c>
      <c r="H9" s="14" t="str">
        <f>'Function Criticality'!E31</f>
        <v>Issue Commands to Assets</v>
      </c>
      <c r="I9" s="31">
        <f>'Function Criticality'!F31</f>
        <v>3.6661628967277121E-2</v>
      </c>
    </row>
    <row r="10" spans="1:9" x14ac:dyDescent="0.25">
      <c r="D10" s="23" t="s">
        <v>30</v>
      </c>
      <c r="E10" s="19" t="s">
        <v>61</v>
      </c>
      <c r="F10" s="6" t="s">
        <v>77</v>
      </c>
      <c r="H10" s="14" t="str">
        <f>'Function Criticality'!E35</f>
        <v>Deploy First Response Ground Assets</v>
      </c>
      <c r="I10" s="31">
        <f>'Function Criticality'!F35</f>
        <v>3.6581026614050528E-2</v>
      </c>
    </row>
    <row r="11" spans="1:9" x14ac:dyDescent="0.25">
      <c r="D11" s="23" t="s">
        <v>31</v>
      </c>
      <c r="E11" s="19" t="s">
        <v>61</v>
      </c>
      <c r="F11" s="6" t="s">
        <v>78</v>
      </c>
      <c r="H11" s="14" t="str">
        <f>'Function Criticality'!E18</f>
        <v>Deploy Ground Assets</v>
      </c>
      <c r="I11" s="31">
        <f>'Function Criticality'!F18</f>
        <v>3.645997771351378E-2</v>
      </c>
    </row>
    <row r="12" spans="1:9" x14ac:dyDescent="0.25">
      <c r="D12" s="23" t="s">
        <v>32</v>
      </c>
      <c r="E12" s="19" t="s">
        <v>61</v>
      </c>
      <c r="F12" s="6" t="s">
        <v>79</v>
      </c>
      <c r="H12" s="14" t="str">
        <f>'Function Criticality'!E11</f>
        <v>Deploy Air Assets</v>
      </c>
      <c r="I12" s="31">
        <f>'Function Criticality'!F11</f>
        <v>3.5885210576976023E-2</v>
      </c>
    </row>
    <row r="13" spans="1:9" x14ac:dyDescent="0.25">
      <c r="D13" s="23" t="s">
        <v>35</v>
      </c>
      <c r="E13" s="19" t="s">
        <v>61</v>
      </c>
      <c r="F13" s="6" t="s">
        <v>80</v>
      </c>
      <c r="H13" s="14" t="str">
        <f>'Function Criticality'!E15</f>
        <v>Drop Fire Retardant</v>
      </c>
      <c r="I13" s="31">
        <f>'Function Criticality'!F15</f>
        <v>3.4905051689186062E-2</v>
      </c>
    </row>
    <row r="14" spans="1:9" x14ac:dyDescent="0.25">
      <c r="D14" s="23" t="s">
        <v>36</v>
      </c>
      <c r="E14" s="19" t="s">
        <v>61</v>
      </c>
      <c r="F14" s="6" t="s">
        <v>81</v>
      </c>
      <c r="H14" s="14" t="str">
        <f>'Function Criticality'!E14</f>
        <v>Drop Water</v>
      </c>
      <c r="I14" s="31">
        <f>'Function Criticality'!F14</f>
        <v>3.4905051689186062E-2</v>
      </c>
    </row>
    <row r="15" spans="1:9" x14ac:dyDescent="0.25">
      <c r="D15" s="23" t="s">
        <v>37</v>
      </c>
      <c r="E15" s="19" t="s">
        <v>61</v>
      </c>
      <c r="F15" s="6" t="s">
        <v>82</v>
      </c>
      <c r="H15" s="14" t="str">
        <f>'Function Criticality'!E12</f>
        <v>Lead Tankers</v>
      </c>
      <c r="I15" s="31">
        <f>'Function Criticality'!F12</f>
        <v>3.4871282193626833E-2</v>
      </c>
    </row>
    <row r="16" spans="1:9" x14ac:dyDescent="0.25">
      <c r="D16" s="23" t="s">
        <v>38</v>
      </c>
      <c r="E16" s="19" t="s">
        <v>61</v>
      </c>
      <c r="F16" s="6" t="s">
        <v>83</v>
      </c>
      <c r="H16" s="14" t="str">
        <f>'Function Criticality'!E29</f>
        <v>Coordinate Air &amp; Ground Resources</v>
      </c>
      <c r="I16" s="31">
        <f>'Function Criticality'!F29</f>
        <v>3.4671263831744153E-2</v>
      </c>
    </row>
    <row r="17" spans="4:9" x14ac:dyDescent="0.25">
      <c r="D17" s="23" t="s">
        <v>15</v>
      </c>
      <c r="E17" s="20" t="s">
        <v>62</v>
      </c>
      <c r="F17" s="6" t="s">
        <v>84</v>
      </c>
      <c r="H17" s="14" t="str">
        <f>'Function Criticality'!E33</f>
        <v>Maintain Communication Among Assets</v>
      </c>
      <c r="I17" s="31">
        <f>'Function Criticality'!F33</f>
        <v>3.3904730681352573E-2</v>
      </c>
    </row>
    <row r="18" spans="4:9" x14ac:dyDescent="0.25">
      <c r="D18" s="23" t="s">
        <v>16</v>
      </c>
      <c r="E18" s="20" t="s">
        <v>62</v>
      </c>
      <c r="F18" s="6" t="s">
        <v>85</v>
      </c>
      <c r="H18" s="14" t="str">
        <f>'Function Criticality'!E21</f>
        <v>Tactically Monitor Fires</v>
      </c>
      <c r="I18" s="31">
        <f>'Function Criticality'!F21</f>
        <v>3.3290764715895559E-2</v>
      </c>
    </row>
    <row r="19" spans="4:9" x14ac:dyDescent="0.25">
      <c r="D19" s="23" t="s">
        <v>17</v>
      </c>
      <c r="E19" s="20" t="s">
        <v>62</v>
      </c>
      <c r="F19" s="6" t="s">
        <v>86</v>
      </c>
      <c r="H19" s="14" t="str">
        <f>'Function Criticality'!E27</f>
        <v>Gather Real Time Data from Assets</v>
      </c>
      <c r="I19" s="31">
        <f>'Function Criticality'!F27</f>
        <v>3.2488807722421076E-2</v>
      </c>
    </row>
    <row r="20" spans="4:9" x14ac:dyDescent="0.25">
      <c r="D20" s="23" t="s">
        <v>20</v>
      </c>
      <c r="E20" s="20" t="s">
        <v>62</v>
      </c>
      <c r="F20" s="6" t="s">
        <v>87</v>
      </c>
      <c r="H20" s="14" t="str">
        <f>'Function Criticality'!E19</f>
        <v>Establish Containment Lines</v>
      </c>
      <c r="I20" s="31">
        <f>'Function Criticality'!F19</f>
        <v>3.228233717434615E-2</v>
      </c>
    </row>
    <row r="21" spans="4:9" x14ac:dyDescent="0.25">
      <c r="D21" s="23" t="s">
        <v>21</v>
      </c>
      <c r="E21" s="20" t="s">
        <v>62</v>
      </c>
      <c r="F21" s="6" t="s">
        <v>88</v>
      </c>
      <c r="H21" s="14" t="str">
        <f>'Function Criticality'!E20</f>
        <v>Spill Water from Ground Assets</v>
      </c>
      <c r="I21" s="31">
        <f>'Function Criticality'!F20</f>
        <v>3.1946995316219896E-2</v>
      </c>
    </row>
    <row r="22" spans="4:9" x14ac:dyDescent="0.25">
      <c r="D22" s="23" t="s">
        <v>22</v>
      </c>
      <c r="E22" s="20" t="s">
        <v>62</v>
      </c>
      <c r="F22" s="6" t="s">
        <v>89</v>
      </c>
      <c r="H22" s="14" t="str">
        <f>'Function Criticality'!E34</f>
        <v>Maintain Communication Between Assets and C3</v>
      </c>
      <c r="I22" s="31">
        <f>'Function Criticality'!F34</f>
        <v>3.1354935135464529E-2</v>
      </c>
    </row>
    <row r="23" spans="4:9" x14ac:dyDescent="0.25">
      <c r="D23" s="23" t="s">
        <v>24</v>
      </c>
      <c r="E23" s="20" t="s">
        <v>62</v>
      </c>
      <c r="F23" s="6" t="s">
        <v>90</v>
      </c>
      <c r="H23" s="14" t="str">
        <f>'Function Criticality'!E37</f>
        <v>Activate MAFFS</v>
      </c>
      <c r="I23" s="31">
        <f>'Function Criticality'!F37</f>
        <v>3.0733450490907636E-2</v>
      </c>
    </row>
    <row r="24" spans="4:9" x14ac:dyDescent="0.25">
      <c r="D24" s="23" t="s">
        <v>25</v>
      </c>
      <c r="E24" s="20" t="s">
        <v>62</v>
      </c>
      <c r="F24" s="6" t="s">
        <v>91</v>
      </c>
      <c r="H24" s="14" t="str">
        <f>'Function Criticality'!E36</f>
        <v>Deploy Smokejumpers</v>
      </c>
      <c r="I24" s="31">
        <f>'Function Criticality'!F36</f>
        <v>3.0378516175184535E-2</v>
      </c>
    </row>
    <row r="25" spans="4:9" x14ac:dyDescent="0.25">
      <c r="D25" s="23" t="s">
        <v>27</v>
      </c>
      <c r="E25" s="20" t="s">
        <v>62</v>
      </c>
      <c r="F25" s="6" t="s">
        <v>92</v>
      </c>
      <c r="H25" s="14" t="str">
        <f>'Function Criticality'!E30</f>
        <v>Dynamically Allocate Resources</v>
      </c>
      <c r="I25" s="31">
        <f>'Function Criticality'!F30</f>
        <v>2.7769726743138663E-2</v>
      </c>
    </row>
    <row r="26" spans="4:9" x14ac:dyDescent="0.25">
      <c r="D26" s="23" t="s">
        <v>28</v>
      </c>
      <c r="E26" s="20" t="s">
        <v>62</v>
      </c>
      <c r="F26" s="6" t="s">
        <v>93</v>
      </c>
      <c r="H26" s="14" t="str">
        <f>'Function Criticality'!E13</f>
        <v>Supervise Air Attacks (AAGs)</v>
      </c>
      <c r="I26" s="31">
        <f>'Function Criticality'!F13</f>
        <v>2.7309127245120839E-2</v>
      </c>
    </row>
    <row r="27" spans="4:9" x14ac:dyDescent="0.25">
      <c r="D27" s="23" t="s">
        <v>29</v>
      </c>
      <c r="E27" s="20" t="s">
        <v>62</v>
      </c>
      <c r="F27" s="6" t="s">
        <v>94</v>
      </c>
      <c r="H27" s="14" t="str">
        <f>'Function Criticality'!E26</f>
        <v>Strategically Monitor Fires</v>
      </c>
      <c r="I27" s="31">
        <f>'Function Criticality'!F26</f>
        <v>2.7178717276858052E-2</v>
      </c>
    </row>
    <row r="28" spans="4:9" x14ac:dyDescent="0.25">
      <c r="D28" s="23" t="s">
        <v>18</v>
      </c>
      <c r="E28" s="21" t="s">
        <v>63</v>
      </c>
      <c r="F28" s="6" t="s">
        <v>95</v>
      </c>
      <c r="H28" s="14" t="str">
        <f>'Function Criticality'!E22</f>
        <v>Predict New Fires</v>
      </c>
      <c r="I28" s="31">
        <f>'Function Criticality'!F22</f>
        <v>2.647911852620884E-2</v>
      </c>
    </row>
    <row r="29" spans="4:9" x14ac:dyDescent="0.25">
      <c r="D29" s="23" t="s">
        <v>33</v>
      </c>
      <c r="E29" s="21" t="s">
        <v>63</v>
      </c>
      <c r="F29" s="6" t="s">
        <v>96</v>
      </c>
      <c r="H29" s="14" t="str">
        <f>'Function Criticality'!E38</f>
        <v>Refuel Airborne Assets</v>
      </c>
      <c r="I29" s="31">
        <f>'Function Criticality'!F38</f>
        <v>2.6263481976814225E-2</v>
      </c>
    </row>
    <row r="30" spans="4:9" x14ac:dyDescent="0.25">
      <c r="D30" s="23" t="s">
        <v>34</v>
      </c>
      <c r="E30" s="21" t="s">
        <v>63</v>
      </c>
      <c r="F30" s="6" t="s">
        <v>97</v>
      </c>
      <c r="H30" s="14" t="str">
        <f>'Function Criticality'!E16</f>
        <v>Perform Post-Drop Assessment</v>
      </c>
      <c r="I30" s="31">
        <f>'Function Criticality'!F16</f>
        <v>2.4850734420388036E-2</v>
      </c>
    </row>
    <row r="31" spans="4:9" x14ac:dyDescent="0.25">
      <c r="D31" s="23" t="s">
        <v>39</v>
      </c>
      <c r="E31" s="21" t="s">
        <v>63</v>
      </c>
      <c r="F31" s="6" t="s">
        <v>98</v>
      </c>
      <c r="H31" s="14" t="str">
        <f>'Function Criticality'!E41</f>
        <v>Provide Logistic Support to Crews</v>
      </c>
      <c r="I31" s="31">
        <f>'Function Criticality'!F41</f>
        <v>2.3586871315252209E-2</v>
      </c>
    </row>
    <row r="32" spans="4:9" x14ac:dyDescent="0.25">
      <c r="D32" s="23" t="s">
        <v>40</v>
      </c>
      <c r="E32" s="21" t="s">
        <v>63</v>
      </c>
      <c r="F32" s="6" t="s">
        <v>99</v>
      </c>
      <c r="H32" s="14" t="str">
        <f>'Function Criticality'!E40</f>
        <v>Refill Water and Fire Retardants</v>
      </c>
      <c r="I32" s="31">
        <f>'Function Criticality'!F40</f>
        <v>2.3252979689870171E-2</v>
      </c>
    </row>
    <row r="33" spans="4:9" x14ac:dyDescent="0.25">
      <c r="D33" s="23" t="s">
        <v>41</v>
      </c>
      <c r="E33" s="21" t="s">
        <v>63</v>
      </c>
      <c r="F33" s="6" t="s">
        <v>100</v>
      </c>
      <c r="H33" s="14" t="str">
        <f>'Function Criticality'!E39</f>
        <v>Provide MRO for Assets</v>
      </c>
      <c r="I33" s="31">
        <f>'Function Criticality'!F39</f>
        <v>2.2408033484555234E-2</v>
      </c>
    </row>
    <row r="34" spans="4:9" x14ac:dyDescent="0.25">
      <c r="D34" s="23" t="s">
        <v>42</v>
      </c>
      <c r="E34" s="21" t="s">
        <v>63</v>
      </c>
      <c r="F34" s="6" t="s">
        <v>101</v>
      </c>
      <c r="H34" s="14" t="str">
        <f>'Function Criticality'!E17</f>
        <v>Dispatch To Reloading Base</v>
      </c>
      <c r="I34" s="31">
        <f>'Function Criticality'!F17</f>
        <v>2.158396181042813E-2</v>
      </c>
    </row>
  </sheetData>
  <autoFilter ref="H3:I3" xr:uid="{A0A76A79-05E5-4309-BFFA-005428D3E1AA}">
    <sortState xmlns:xlrd2="http://schemas.microsoft.com/office/spreadsheetml/2017/richdata2" ref="H4:I34">
      <sortCondition descending="1" ref="I3"/>
    </sortState>
  </autoFilter>
  <conditionalFormatting sqref="I4:I34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AC857B-B685-4E8B-802B-5F2893B31BEA}">
  <dimension ref="B1:X48"/>
  <sheetViews>
    <sheetView topLeftCell="B1" zoomScale="75" zoomScaleNormal="85" workbookViewId="0">
      <selection activeCell="O22" sqref="O22"/>
    </sheetView>
  </sheetViews>
  <sheetFormatPr defaultRowHeight="15" x14ac:dyDescent="0.25"/>
  <cols>
    <col min="2" max="2" width="12.28515625" bestFit="1" customWidth="1"/>
    <col min="3" max="3" width="28.5703125" bestFit="1" customWidth="1"/>
    <col min="5" max="5" width="43.85546875" customWidth="1"/>
    <col min="6" max="6" width="26" customWidth="1"/>
    <col min="7" max="7" width="5" customWidth="1"/>
    <col min="8" max="13" width="4.5703125" customWidth="1"/>
    <col min="15" max="15" width="31.7109375" bestFit="1" customWidth="1"/>
    <col min="16" max="16" width="23.85546875" bestFit="1" customWidth="1"/>
    <col min="18" max="21" width="12.7109375" bestFit="1" customWidth="1"/>
  </cols>
  <sheetData>
    <row r="1" spans="2:24" ht="15.75" thickBot="1" x14ac:dyDescent="0.3"/>
    <row r="2" spans="2:24" ht="15.75" thickBot="1" x14ac:dyDescent="0.3">
      <c r="B2" s="61" t="s">
        <v>0</v>
      </c>
      <c r="C2" s="62"/>
      <c r="E2" s="16" t="s">
        <v>1</v>
      </c>
    </row>
    <row r="3" spans="2:24" ht="15.75" thickBot="1" x14ac:dyDescent="0.3">
      <c r="B3" s="8" t="s">
        <v>2</v>
      </c>
      <c r="C3" s="8" t="s">
        <v>3</v>
      </c>
      <c r="E3" s="6" t="s">
        <v>4</v>
      </c>
    </row>
    <row r="4" spans="2:24" ht="15" customHeight="1" x14ac:dyDescent="0.25">
      <c r="B4" s="10">
        <v>1</v>
      </c>
      <c r="C4" s="11" t="s">
        <v>5</v>
      </c>
      <c r="E4" s="63" t="s">
        <v>6</v>
      </c>
    </row>
    <row r="5" spans="2:24" x14ac:dyDescent="0.25">
      <c r="B5" s="12">
        <v>3</v>
      </c>
      <c r="C5" s="13" t="s">
        <v>7</v>
      </c>
      <c r="E5" s="64"/>
    </row>
    <row r="6" spans="2:24" x14ac:dyDescent="0.25">
      <c r="B6" s="12">
        <v>5</v>
      </c>
      <c r="C6" s="13" t="s">
        <v>8</v>
      </c>
      <c r="E6" s="65" t="s">
        <v>9</v>
      </c>
    </row>
    <row r="7" spans="2:24" x14ac:dyDescent="0.25">
      <c r="B7" s="12">
        <v>7</v>
      </c>
      <c r="C7" s="13" t="s">
        <v>10</v>
      </c>
      <c r="E7" s="65"/>
    </row>
    <row r="8" spans="2:24" x14ac:dyDescent="0.25">
      <c r="B8" s="12">
        <v>9</v>
      </c>
      <c r="C8" s="13" t="s">
        <v>11</v>
      </c>
    </row>
    <row r="10" spans="2:24" ht="196.9" customHeight="1" x14ac:dyDescent="0.25">
      <c r="E10" s="1" t="s">
        <v>833</v>
      </c>
      <c r="F10" s="2" t="s">
        <v>44</v>
      </c>
      <c r="G10" s="3" t="str">
        <f>E11</f>
        <v>Detection Time</v>
      </c>
      <c r="H10" s="3" t="str">
        <f>E12</f>
        <v>Operational Availability</v>
      </c>
      <c r="I10" s="3" t="str">
        <f>E13</f>
        <v>Response Time</v>
      </c>
      <c r="J10" s="3" t="str">
        <f>E14</f>
        <v>Resolution Time</v>
      </c>
      <c r="K10" s="3" t="str">
        <f>E15</f>
        <v>Interdomain Coordination Latency</v>
      </c>
      <c r="L10" s="3" t="str">
        <f>E16</f>
        <v>Fire Supression Cost Efficiency</v>
      </c>
      <c r="M10" s="3" t="str">
        <f>E17</f>
        <v>CO2 Emissions</v>
      </c>
      <c r="O10" s="41" t="s">
        <v>720</v>
      </c>
      <c r="P10" s="41" t="s">
        <v>2</v>
      </c>
    </row>
    <row r="11" spans="2:24" x14ac:dyDescent="0.25">
      <c r="E11" s="14" t="s">
        <v>829</v>
      </c>
      <c r="F11" s="42">
        <f t="shared" ref="F11:F17" si="0">AVERAGE(R11:X11)</f>
        <v>0.20240212450967759</v>
      </c>
      <c r="G11" s="4">
        <v>1</v>
      </c>
      <c r="H11" s="5">
        <v>1</v>
      </c>
      <c r="I11" s="5">
        <v>3</v>
      </c>
      <c r="J11" s="5">
        <f>1/3</f>
        <v>0.33333333333333331</v>
      </c>
      <c r="K11" s="6">
        <v>9</v>
      </c>
      <c r="L11" s="6">
        <v>7</v>
      </c>
      <c r="M11" s="6">
        <v>7</v>
      </c>
      <c r="O11" s="6" t="str">
        <f t="shared" ref="O11:P17" si="1">E11</f>
        <v>Detection Time</v>
      </c>
      <c r="P11" s="43">
        <f t="shared" si="1"/>
        <v>0.20240212450967759</v>
      </c>
      <c r="R11" s="7">
        <f t="shared" ref="R11:X17" si="2">G11/SUM(G$11:G$17)</f>
        <v>0.17451523545706368</v>
      </c>
      <c r="S11" s="7">
        <f t="shared" si="2"/>
        <v>0.17451523545706368</v>
      </c>
      <c r="T11" s="7">
        <f t="shared" si="2"/>
        <v>0.23725834797891038</v>
      </c>
      <c r="U11" s="7">
        <f t="shared" si="2"/>
        <v>0.14935988620199145</v>
      </c>
      <c r="V11" s="7">
        <f t="shared" si="2"/>
        <v>0.23978685612788628</v>
      </c>
      <c r="W11" s="7">
        <f t="shared" si="2"/>
        <v>0.2413793103448276</v>
      </c>
      <c r="X11" s="7">
        <f t="shared" si="2"/>
        <v>0.2</v>
      </c>
    </row>
    <row r="12" spans="2:24" x14ac:dyDescent="0.25">
      <c r="E12" s="14" t="s">
        <v>836</v>
      </c>
      <c r="F12" s="42">
        <f t="shared" si="0"/>
        <v>0.20240212450967759</v>
      </c>
      <c r="G12" s="9" cm="1">
        <f t="array" ref="G12">1/INDEX($H$11:$M$11, 1, ROW(A1))</f>
        <v>1</v>
      </c>
      <c r="H12" s="4">
        <v>1</v>
      </c>
      <c r="I12" s="5">
        <v>3</v>
      </c>
      <c r="J12" s="5">
        <f>1/3</f>
        <v>0.33333333333333331</v>
      </c>
      <c r="K12" s="6">
        <v>9</v>
      </c>
      <c r="L12" s="6">
        <v>7</v>
      </c>
      <c r="M12" s="6">
        <v>7</v>
      </c>
      <c r="O12" s="6" t="str">
        <f t="shared" si="1"/>
        <v>Operational Availability</v>
      </c>
      <c r="P12" s="43">
        <f t="shared" si="1"/>
        <v>0.20240212450967759</v>
      </c>
      <c r="R12" s="7">
        <f t="shared" si="2"/>
        <v>0.17451523545706368</v>
      </c>
      <c r="S12" s="7">
        <f t="shared" si="2"/>
        <v>0.17451523545706368</v>
      </c>
      <c r="T12" s="7">
        <f t="shared" si="2"/>
        <v>0.23725834797891038</v>
      </c>
      <c r="U12" s="7">
        <f t="shared" si="2"/>
        <v>0.14935988620199145</v>
      </c>
      <c r="V12" s="7">
        <f t="shared" si="2"/>
        <v>0.23978685612788628</v>
      </c>
      <c r="W12" s="7">
        <f t="shared" si="2"/>
        <v>0.2413793103448276</v>
      </c>
      <c r="X12" s="7">
        <f t="shared" si="2"/>
        <v>0.2</v>
      </c>
    </row>
    <row r="13" spans="2:24" x14ac:dyDescent="0.25">
      <c r="E13" s="14" t="s">
        <v>827</v>
      </c>
      <c r="F13" s="42">
        <f t="shared" si="0"/>
        <v>0.11016254469513889</v>
      </c>
      <c r="G13" s="9" cm="1">
        <f t="array" ref="G13">1/INDEX($H$11:$M$11, 1, ROW(A2))</f>
        <v>0.33333333333333331</v>
      </c>
      <c r="H13" s="9" cm="1">
        <f t="array" ref="H13">1/INDEX($I$12:$M$12, 1, ROW(A1))</f>
        <v>0.33333333333333331</v>
      </c>
      <c r="I13" s="4">
        <v>1</v>
      </c>
      <c r="J13" s="5">
        <f>1/5</f>
        <v>0.2</v>
      </c>
      <c r="K13" s="6">
        <v>9</v>
      </c>
      <c r="L13" s="6">
        <v>3</v>
      </c>
      <c r="M13" s="6">
        <v>5</v>
      </c>
      <c r="O13" s="6" t="str">
        <f t="shared" si="1"/>
        <v>Response Time</v>
      </c>
      <c r="P13" s="43">
        <f t="shared" si="1"/>
        <v>0.11016254469513889</v>
      </c>
      <c r="R13" s="7">
        <f t="shared" si="2"/>
        <v>5.8171745152354556E-2</v>
      </c>
      <c r="S13" s="7">
        <f t="shared" si="2"/>
        <v>5.8171745152354556E-2</v>
      </c>
      <c r="T13" s="7">
        <f t="shared" si="2"/>
        <v>7.9086115992970121E-2</v>
      </c>
      <c r="U13" s="7">
        <f t="shared" si="2"/>
        <v>8.9615931721194877E-2</v>
      </c>
      <c r="V13" s="7">
        <f t="shared" si="2"/>
        <v>0.23978685612788628</v>
      </c>
      <c r="W13" s="7">
        <f t="shared" si="2"/>
        <v>0.10344827586206896</v>
      </c>
      <c r="X13" s="7">
        <f t="shared" si="2"/>
        <v>0.14285714285714285</v>
      </c>
    </row>
    <row r="14" spans="2:24" x14ac:dyDescent="0.25">
      <c r="E14" s="14" t="s">
        <v>828</v>
      </c>
      <c r="F14" s="42">
        <f t="shared" si="0"/>
        <v>0.37555866784696823</v>
      </c>
      <c r="G14" s="9" cm="1">
        <f t="array" ref="G14">1/INDEX($H$11:$M$11, 1, ROW(A3))</f>
        <v>3</v>
      </c>
      <c r="H14" s="9" cm="1">
        <f t="array" ref="H14">1/INDEX($I$12:$M$12, 1, ROW(A2))</f>
        <v>3</v>
      </c>
      <c r="I14" s="9" cm="1">
        <f t="array" ref="I14">1/INDEX($J$13:$M$13, 1, ROW(A1))</f>
        <v>5</v>
      </c>
      <c r="J14" s="4">
        <v>1</v>
      </c>
      <c r="K14" s="6">
        <v>9</v>
      </c>
      <c r="L14" s="6">
        <v>7</v>
      </c>
      <c r="M14" s="6">
        <v>9</v>
      </c>
      <c r="O14" s="6" t="str">
        <f t="shared" si="1"/>
        <v>Resolution Time</v>
      </c>
      <c r="P14" s="43">
        <f t="shared" si="1"/>
        <v>0.37555866784696823</v>
      </c>
      <c r="R14" s="7">
        <f t="shared" si="2"/>
        <v>0.52354570637119102</v>
      </c>
      <c r="S14" s="7">
        <f t="shared" si="2"/>
        <v>0.52354570637119102</v>
      </c>
      <c r="T14" s="7">
        <f t="shared" si="2"/>
        <v>0.39543057996485065</v>
      </c>
      <c r="U14" s="7">
        <f t="shared" si="2"/>
        <v>0.44807965860597437</v>
      </c>
      <c r="V14" s="7">
        <f t="shared" si="2"/>
        <v>0.23978685612788628</v>
      </c>
      <c r="W14" s="7">
        <f t="shared" si="2"/>
        <v>0.2413793103448276</v>
      </c>
      <c r="X14" s="7">
        <f t="shared" si="2"/>
        <v>0.25714285714285712</v>
      </c>
    </row>
    <row r="15" spans="2:24" x14ac:dyDescent="0.25">
      <c r="E15" s="14" t="s">
        <v>830</v>
      </c>
      <c r="F15" s="42">
        <f t="shared" si="0"/>
        <v>5.2900505874823249E-2</v>
      </c>
      <c r="G15" s="9" cm="1">
        <f t="array" ref="G15">1/INDEX($H$11:$M$11, 1, ROW(A4))</f>
        <v>0.1111111111111111</v>
      </c>
      <c r="H15" s="9" cm="1">
        <f t="array" ref="H15">1/INDEX($I$12:$M$12, 1, ROW(A3))</f>
        <v>0.1111111111111111</v>
      </c>
      <c r="I15" s="9" cm="1">
        <f t="array" ref="I15">1/INDEX($J$13:$M$13, 1, ROW(A2))</f>
        <v>0.1111111111111111</v>
      </c>
      <c r="J15" s="14" cm="1">
        <f t="array" ref="J15">1/INDEX($K$14:$M$14, 1, ROW(A1))</f>
        <v>0.1111111111111111</v>
      </c>
      <c r="K15" s="4">
        <v>1</v>
      </c>
      <c r="L15" s="6">
        <v>3</v>
      </c>
      <c r="M15" s="6">
        <v>5</v>
      </c>
      <c r="O15" s="6" t="str">
        <f t="shared" si="1"/>
        <v>Interdomain Coordination Latency</v>
      </c>
      <c r="P15" s="43">
        <f t="shared" si="1"/>
        <v>5.2900505874823249E-2</v>
      </c>
      <c r="R15" s="7">
        <f t="shared" si="2"/>
        <v>1.9390581717451519E-2</v>
      </c>
      <c r="S15" s="7">
        <f t="shared" si="2"/>
        <v>1.9390581717451519E-2</v>
      </c>
      <c r="T15" s="7">
        <f t="shared" si="2"/>
        <v>8.7873462214411238E-3</v>
      </c>
      <c r="U15" s="7">
        <f t="shared" si="2"/>
        <v>4.9786628733997154E-2</v>
      </c>
      <c r="V15" s="7">
        <f t="shared" si="2"/>
        <v>2.6642984014209586E-2</v>
      </c>
      <c r="W15" s="7">
        <f t="shared" si="2"/>
        <v>0.10344827586206896</v>
      </c>
      <c r="X15" s="7">
        <f t="shared" si="2"/>
        <v>0.14285714285714285</v>
      </c>
    </row>
    <row r="16" spans="2:24" x14ac:dyDescent="0.25">
      <c r="E16" s="14" t="s">
        <v>831</v>
      </c>
      <c r="F16" s="42">
        <f t="shared" si="0"/>
        <v>3.0310013739081949E-2</v>
      </c>
      <c r="G16" s="9" cm="1">
        <f t="array" ref="G16">1/INDEX($H$11:$M$11, 1, ROW(A5))</f>
        <v>0.14285714285714285</v>
      </c>
      <c r="H16" s="9" cm="1">
        <f t="array" ref="H16">1/INDEX($I$12:$M$12, 1, ROW(A4))</f>
        <v>0.14285714285714285</v>
      </c>
      <c r="I16" s="9" cm="1">
        <f t="array" ref="I16">1/INDEX($J$13:$M$13, 1, ROW(A3))</f>
        <v>0.33333333333333331</v>
      </c>
      <c r="J16" s="14" cm="1">
        <f t="array" ref="J16">1/INDEX($K$14:$M$14, 1, ROW(A2))</f>
        <v>0.14285714285714285</v>
      </c>
      <c r="K16" s="14" cm="1">
        <f t="array" ref="K16">1/INDEX($L$15:$M$15, 1, ROW(A1))</f>
        <v>0.33333333333333331</v>
      </c>
      <c r="L16" s="4">
        <v>1</v>
      </c>
      <c r="M16" s="6">
        <v>1</v>
      </c>
      <c r="O16" s="6" t="str">
        <f t="shared" si="1"/>
        <v>Fire Supression Cost Efficiency</v>
      </c>
      <c r="P16" s="43">
        <f t="shared" si="1"/>
        <v>3.0310013739081949E-2</v>
      </c>
      <c r="R16" s="7">
        <f t="shared" si="2"/>
        <v>2.4930747922437668E-2</v>
      </c>
      <c r="S16" s="7">
        <f t="shared" si="2"/>
        <v>2.4930747922437668E-2</v>
      </c>
      <c r="T16" s="7">
        <f t="shared" si="2"/>
        <v>2.6362038664323375E-2</v>
      </c>
      <c r="U16" s="7">
        <f t="shared" si="2"/>
        <v>6.4011379800853474E-2</v>
      </c>
      <c r="V16" s="7">
        <f t="shared" si="2"/>
        <v>8.8809946714031949E-3</v>
      </c>
      <c r="W16" s="7">
        <f t="shared" si="2"/>
        <v>3.4482758620689655E-2</v>
      </c>
      <c r="X16" s="7">
        <f t="shared" si="2"/>
        <v>2.8571428571428571E-2</v>
      </c>
    </row>
    <row r="17" spans="5:24" x14ac:dyDescent="0.25">
      <c r="E17" s="14" t="s">
        <v>832</v>
      </c>
      <c r="F17" s="42">
        <f t="shared" si="0"/>
        <v>2.6264018824632383E-2</v>
      </c>
      <c r="G17" s="9" cm="1">
        <f t="array" ref="G17">1/INDEX($H$11:$M$11, 1, ROW(A6))</f>
        <v>0.14285714285714285</v>
      </c>
      <c r="H17" s="9" cm="1">
        <f t="array" ref="H17">1/INDEX($I$12:$M$12, 1, ROW(A5))</f>
        <v>0.14285714285714285</v>
      </c>
      <c r="I17" s="9" cm="1">
        <f t="array" ref="I17">1/INDEX($J$13:$M$13, 1, ROW(A4))</f>
        <v>0.2</v>
      </c>
      <c r="J17" s="14" cm="1">
        <f t="array" ref="J17">1/INDEX($K$14:$M$14, 1, ROW(A3))</f>
        <v>0.1111111111111111</v>
      </c>
      <c r="K17" s="14" cm="1">
        <f t="array" ref="K17">1/INDEX($L$15:$M$15, 1, ROW(A2))</f>
        <v>0.2</v>
      </c>
      <c r="L17" s="14" cm="1">
        <f t="array" ref="L17">1/INDEX($M$16:$M$16, 1, ROW(A1))</f>
        <v>1</v>
      </c>
      <c r="M17" s="4">
        <v>1</v>
      </c>
      <c r="O17" s="6" t="str">
        <f t="shared" si="1"/>
        <v>CO2 Emissions</v>
      </c>
      <c r="P17" s="43">
        <f t="shared" si="1"/>
        <v>2.6264018824632383E-2</v>
      </c>
      <c r="R17" s="7">
        <f t="shared" si="2"/>
        <v>2.4930747922437668E-2</v>
      </c>
      <c r="S17" s="7">
        <f t="shared" si="2"/>
        <v>2.4930747922437668E-2</v>
      </c>
      <c r="T17" s="7">
        <f t="shared" si="2"/>
        <v>1.5817223198594025E-2</v>
      </c>
      <c r="U17" s="7">
        <f t="shared" si="2"/>
        <v>4.9786628733997154E-2</v>
      </c>
      <c r="V17" s="7">
        <f t="shared" si="2"/>
        <v>5.3285968028419176E-3</v>
      </c>
      <c r="W17" s="7">
        <f t="shared" si="2"/>
        <v>3.4482758620689655E-2</v>
      </c>
      <c r="X17" s="7">
        <f t="shared" si="2"/>
        <v>2.8571428571428571E-2</v>
      </c>
    </row>
    <row r="18" spans="5:24" x14ac:dyDescent="0.25">
      <c r="F18" s="30">
        <f>SUM(F11:F17)</f>
        <v>0.99999999999999978</v>
      </c>
    </row>
    <row r="23" spans="5:24" ht="196.9" customHeight="1" x14ac:dyDescent="0.25">
      <c r="E23" s="1" t="s">
        <v>835</v>
      </c>
      <c r="F23" s="2" t="s">
        <v>44</v>
      </c>
      <c r="G23" s="3" t="str">
        <f>E24</f>
        <v>Detection Time</v>
      </c>
      <c r="H23" s="3" t="str">
        <f>E25</f>
        <v>Operational Availability</v>
      </c>
      <c r="I23" s="3" t="str">
        <f>E26</f>
        <v>Response Time</v>
      </c>
      <c r="J23" s="3" t="str">
        <f>E27</f>
        <v>Resolution Time</v>
      </c>
      <c r="K23" s="3" t="str">
        <f>E28</f>
        <v>Interdomain Coordination Latency</v>
      </c>
      <c r="L23" s="3" t="str">
        <f>E29</f>
        <v>Fire Supression Cost Efficiency</v>
      </c>
      <c r="M23" s="3" t="str">
        <f>E30</f>
        <v>CO2 Emissions</v>
      </c>
      <c r="O23" s="41" t="s">
        <v>720</v>
      </c>
      <c r="P23" s="41" t="s">
        <v>2</v>
      </c>
    </row>
    <row r="24" spans="5:24" x14ac:dyDescent="0.25">
      <c r="E24" s="14" t="s">
        <v>829</v>
      </c>
      <c r="F24" s="42">
        <f t="shared" ref="F24:F30" si="3">AVERAGE(R24:X24)</f>
        <v>0.12379143075361219</v>
      </c>
      <c r="G24" s="4">
        <v>1</v>
      </c>
      <c r="H24" s="5">
        <v>1</v>
      </c>
      <c r="I24" s="5">
        <v>3</v>
      </c>
      <c r="J24" s="5">
        <f>1/5</f>
        <v>0.2</v>
      </c>
      <c r="K24" s="6">
        <f>1/5</f>
        <v>0.2</v>
      </c>
      <c r="L24" s="6">
        <v>9</v>
      </c>
      <c r="M24" s="6">
        <v>3</v>
      </c>
      <c r="O24" s="6" t="str">
        <f t="shared" ref="O24:P30" si="4">E24</f>
        <v>Detection Time</v>
      </c>
      <c r="P24" s="43">
        <f t="shared" si="4"/>
        <v>0.12379143075361219</v>
      </c>
      <c r="R24" s="7">
        <f>G24/SUM(G$24:G$30)</f>
        <v>7.8260869565217384E-2</v>
      </c>
      <c r="S24" s="7">
        <f t="shared" ref="S24:X24" si="5">H24/SUM(H$24:H$30)</f>
        <v>0.21531100478468901</v>
      </c>
      <c r="T24" s="7">
        <f t="shared" si="5"/>
        <v>0.14018691588785048</v>
      </c>
      <c r="U24" s="7">
        <f t="shared" si="5"/>
        <v>7.3170731707317069E-2</v>
      </c>
      <c r="V24" s="7">
        <f t="shared" si="5"/>
        <v>2.539298669891173E-2</v>
      </c>
      <c r="W24" s="7">
        <f t="shared" si="5"/>
        <v>0.23076923076923078</v>
      </c>
      <c r="X24" s="7">
        <f t="shared" si="5"/>
        <v>0.10344827586206896</v>
      </c>
    </row>
    <row r="25" spans="5:24" x14ac:dyDescent="0.25">
      <c r="E25" s="14" t="s">
        <v>836</v>
      </c>
      <c r="F25" s="42">
        <f t="shared" si="3"/>
        <v>0.21304328114927226</v>
      </c>
      <c r="G25" s="9" cm="1">
        <f t="array" ref="G25">1/INDEX($H$24:$M$24, 1, ROW(A1))</f>
        <v>1</v>
      </c>
      <c r="H25" s="4">
        <v>1</v>
      </c>
      <c r="I25" s="5">
        <v>5</v>
      </c>
      <c r="J25" s="5">
        <v>1</v>
      </c>
      <c r="K25" s="6">
        <v>1</v>
      </c>
      <c r="L25" s="6">
        <v>9</v>
      </c>
      <c r="M25" s="6">
        <v>3</v>
      </c>
      <c r="O25" s="6" t="str">
        <f t="shared" si="4"/>
        <v>Operational Availability</v>
      </c>
      <c r="P25" s="43">
        <f t="shared" si="4"/>
        <v>0.21304328114927226</v>
      </c>
      <c r="R25" s="7">
        <f>G25/SUM(H$24:H$30)</f>
        <v>0.21531100478468901</v>
      </c>
      <c r="S25" s="7">
        <f t="shared" ref="S25:S30" si="6">H25/SUM(H$24:H$30)</f>
        <v>0.21531100478468901</v>
      </c>
      <c r="T25" s="7">
        <f t="shared" ref="T25:T30" si="7">I25/SUM(I$24:I$30)</f>
        <v>0.23364485981308414</v>
      </c>
      <c r="U25" s="7">
        <f t="shared" ref="U25:U30" si="8">J25/SUM(J$24:J$30)</f>
        <v>0.36585365853658536</v>
      </c>
      <c r="V25" s="7">
        <f t="shared" ref="V25:V30" si="9">K25/SUM(K$24:K$30)</f>
        <v>0.12696493349455865</v>
      </c>
      <c r="W25" s="7">
        <f t="shared" ref="W25:W30" si="10">L25/SUM(L$24:L$30)</f>
        <v>0.23076923076923078</v>
      </c>
      <c r="X25" s="7">
        <f t="shared" ref="X25:X30" si="11">M25/SUM(M$24:M$30)</f>
        <v>0.10344827586206896</v>
      </c>
    </row>
    <row r="26" spans="5:24" x14ac:dyDescent="0.25">
      <c r="E26" s="14" t="s">
        <v>827</v>
      </c>
      <c r="F26" s="42">
        <f t="shared" si="3"/>
        <v>7.1352728821731645E-2</v>
      </c>
      <c r="G26" s="9" cm="1">
        <f t="array" ref="G26">1/INDEX($H$24:$M$24, 1, ROW(A2))</f>
        <v>0.33333333333333331</v>
      </c>
      <c r="H26" s="9" cm="1">
        <f t="array" ref="H26">1/INDEX($I$25:$M$25, 1, ROW(A1))</f>
        <v>0.2</v>
      </c>
      <c r="I26" s="4">
        <v>1</v>
      </c>
      <c r="J26" s="5">
        <f>1/9</f>
        <v>0.1111111111111111</v>
      </c>
      <c r="K26" s="6">
        <f>1/3</f>
        <v>0.33333333333333331</v>
      </c>
      <c r="L26" s="6">
        <v>5</v>
      </c>
      <c r="M26" s="6">
        <v>5</v>
      </c>
      <c r="O26" s="6" t="str">
        <f t="shared" si="4"/>
        <v>Response Time</v>
      </c>
      <c r="P26" s="43">
        <f t="shared" si="4"/>
        <v>7.1352728821731645E-2</v>
      </c>
      <c r="R26" s="7">
        <f t="shared" ref="R26:R30" si="12">G26/SUM(G$24:G$30)</f>
        <v>2.6086956521739129E-2</v>
      </c>
      <c r="S26" s="7">
        <f t="shared" si="6"/>
        <v>4.3062200956937809E-2</v>
      </c>
      <c r="T26" s="7">
        <f t="shared" si="7"/>
        <v>4.6728971962616828E-2</v>
      </c>
      <c r="U26" s="7">
        <f t="shared" si="8"/>
        <v>4.065040650406504E-2</v>
      </c>
      <c r="V26" s="7">
        <f t="shared" si="9"/>
        <v>4.2321644498186213E-2</v>
      </c>
      <c r="W26" s="7">
        <f t="shared" si="10"/>
        <v>0.12820512820512819</v>
      </c>
      <c r="X26" s="7">
        <f t="shared" si="11"/>
        <v>0.17241379310344829</v>
      </c>
    </row>
    <row r="27" spans="5:24" x14ac:dyDescent="0.25">
      <c r="E27" s="14" t="s">
        <v>828</v>
      </c>
      <c r="F27" s="42">
        <f t="shared" si="3"/>
        <v>0.36699549780559193</v>
      </c>
      <c r="G27" s="9" cm="1">
        <f t="array" ref="G27">1/INDEX($H$24:$M$24, 1, ROW(A3))</f>
        <v>5</v>
      </c>
      <c r="H27" s="9" cm="1">
        <f t="array" ref="H27">1/INDEX($I$25:$M$25, 1, ROW(A2))</f>
        <v>1</v>
      </c>
      <c r="I27" s="9" cm="1">
        <f t="array" ref="I27">1/INDEX($J$26:$M$26, 1, ROW(A1))</f>
        <v>9</v>
      </c>
      <c r="J27" s="4">
        <v>1</v>
      </c>
      <c r="K27" s="6">
        <v>5</v>
      </c>
      <c r="L27" s="6">
        <v>9</v>
      </c>
      <c r="M27" s="6">
        <v>9</v>
      </c>
      <c r="O27" s="6" t="str">
        <f t="shared" si="4"/>
        <v>Resolution Time</v>
      </c>
      <c r="P27" s="43">
        <f t="shared" si="4"/>
        <v>0.36699549780559193</v>
      </c>
      <c r="R27" s="7">
        <f t="shared" si="12"/>
        <v>0.39130434782608692</v>
      </c>
      <c r="S27" s="7">
        <f t="shared" si="6"/>
        <v>0.21531100478468901</v>
      </c>
      <c r="T27" s="7">
        <f t="shared" si="7"/>
        <v>0.42056074766355145</v>
      </c>
      <c r="U27" s="7">
        <f t="shared" si="8"/>
        <v>0.36585365853658536</v>
      </c>
      <c r="V27" s="7">
        <f t="shared" si="9"/>
        <v>0.6348246674727932</v>
      </c>
      <c r="W27" s="7">
        <f t="shared" si="10"/>
        <v>0.23076923076923078</v>
      </c>
      <c r="X27" s="7">
        <f t="shared" si="11"/>
        <v>0.31034482758620691</v>
      </c>
    </row>
    <row r="28" spans="5:24" x14ac:dyDescent="0.25">
      <c r="E28" s="14" t="s">
        <v>830</v>
      </c>
      <c r="F28" s="42">
        <f t="shared" si="3"/>
        <v>0.18807462460720825</v>
      </c>
      <c r="G28" s="9" cm="1">
        <f t="array" ref="G28">1/INDEX($H$24:$M$24, 1, ROW(A4))</f>
        <v>5</v>
      </c>
      <c r="H28" s="9" cm="1">
        <f t="array" ref="H28">1/INDEX($I$25:$M$25, 1, ROW(A3))</f>
        <v>1</v>
      </c>
      <c r="I28" s="9" cm="1">
        <f t="array" ref="I28">1/INDEX($J$26:$M$26, 1, ROW(A2))</f>
        <v>3</v>
      </c>
      <c r="J28" s="14" cm="1">
        <f t="array" ref="J28">1/INDEX($K$27:$M$27, 1, ROW(A1))</f>
        <v>0.2</v>
      </c>
      <c r="K28" s="4">
        <v>1</v>
      </c>
      <c r="L28" s="6">
        <v>5</v>
      </c>
      <c r="M28" s="6">
        <v>7</v>
      </c>
      <c r="O28" s="6" t="str">
        <f t="shared" si="4"/>
        <v>Interdomain Coordination Latency</v>
      </c>
      <c r="P28" s="43">
        <f t="shared" si="4"/>
        <v>0.18807462460720825</v>
      </c>
      <c r="R28" s="7">
        <f t="shared" si="12"/>
        <v>0.39130434782608692</v>
      </c>
      <c r="S28" s="7">
        <f t="shared" si="6"/>
        <v>0.21531100478468901</v>
      </c>
      <c r="T28" s="7">
        <f t="shared" si="7"/>
        <v>0.14018691588785048</v>
      </c>
      <c r="U28" s="7">
        <f t="shared" si="8"/>
        <v>7.3170731707317069E-2</v>
      </c>
      <c r="V28" s="7">
        <f t="shared" si="9"/>
        <v>0.12696493349455865</v>
      </c>
      <c r="W28" s="7">
        <f t="shared" si="10"/>
        <v>0.12820512820512819</v>
      </c>
      <c r="X28" s="7">
        <f t="shared" si="11"/>
        <v>0.2413793103448276</v>
      </c>
    </row>
    <row r="29" spans="5:24" x14ac:dyDescent="0.25">
      <c r="E29" s="14" t="s">
        <v>831</v>
      </c>
      <c r="F29" s="42">
        <f t="shared" si="3"/>
        <v>2.4018867001029287E-2</v>
      </c>
      <c r="G29" s="9" cm="1">
        <f t="array" ref="G29">1/INDEX($H$24:$M$24, 1, ROW(A5))</f>
        <v>0.1111111111111111</v>
      </c>
      <c r="H29" s="9" cm="1">
        <f t="array" ref="H29">1/INDEX($I$25:$M$25, 1, ROW(A4))</f>
        <v>0.1111111111111111</v>
      </c>
      <c r="I29" s="9" cm="1">
        <f t="array" ref="I29">1/INDEX($J$26:$M$26, 1, ROW(A3))</f>
        <v>0.2</v>
      </c>
      <c r="J29" s="14" cm="1">
        <f t="array" ref="J29">1/INDEX($K$27:$M$27, 1, ROW(A2))</f>
        <v>0.1111111111111111</v>
      </c>
      <c r="K29" s="14" cm="1">
        <f t="array" ref="K29">1/INDEX($L$28:$M$28, 1, ROW(A1))</f>
        <v>0.2</v>
      </c>
      <c r="L29" s="4">
        <v>1</v>
      </c>
      <c r="M29" s="6">
        <v>1</v>
      </c>
      <c r="O29" s="6" t="str">
        <f t="shared" si="4"/>
        <v>Fire Supression Cost Efficiency</v>
      </c>
      <c r="P29" s="43">
        <f t="shared" si="4"/>
        <v>2.4018867001029287E-2</v>
      </c>
      <c r="R29" s="7">
        <f t="shared" si="12"/>
        <v>8.6956521739130418E-3</v>
      </c>
      <c r="S29" s="7">
        <f t="shared" si="6"/>
        <v>2.3923444976076555E-2</v>
      </c>
      <c r="T29" s="7">
        <f t="shared" si="7"/>
        <v>9.3457943925233655E-3</v>
      </c>
      <c r="U29" s="7">
        <f t="shared" si="8"/>
        <v>4.065040650406504E-2</v>
      </c>
      <c r="V29" s="7">
        <f t="shared" si="9"/>
        <v>2.539298669891173E-2</v>
      </c>
      <c r="W29" s="7">
        <f t="shared" si="10"/>
        <v>2.564102564102564E-2</v>
      </c>
      <c r="X29" s="7">
        <f t="shared" si="11"/>
        <v>3.4482758620689655E-2</v>
      </c>
    </row>
    <row r="30" spans="5:24" x14ac:dyDescent="0.25">
      <c r="E30" s="14" t="s">
        <v>832</v>
      </c>
      <c r="F30" s="42">
        <f t="shared" si="3"/>
        <v>3.2302160607193188E-2</v>
      </c>
      <c r="G30" s="9" cm="1">
        <f t="array" ref="G30">1/INDEX($H$24:$M$24, 1, ROW(A6))</f>
        <v>0.33333333333333331</v>
      </c>
      <c r="H30" s="9" cm="1">
        <f t="array" ref="H30">1/INDEX($I$25:$M$25, 1, ROW(A5))</f>
        <v>0.33333333333333331</v>
      </c>
      <c r="I30" s="9" cm="1">
        <f t="array" ref="I30">1/INDEX($J$26:$M$26, 1, ROW(A4))</f>
        <v>0.2</v>
      </c>
      <c r="J30" s="14" cm="1">
        <f t="array" ref="J30">1/INDEX($K$27:$M$27, 1, ROW(A3))</f>
        <v>0.1111111111111111</v>
      </c>
      <c r="K30" s="14" cm="1">
        <f t="array" ref="K30">1/INDEX($L$28:$M$28, 1, ROW(A2))</f>
        <v>0.14285714285714285</v>
      </c>
      <c r="L30" s="14" cm="1">
        <f t="array" ref="L30">1/INDEX($M$29:$M$29, 1, ROW(A1))</f>
        <v>1</v>
      </c>
      <c r="M30" s="4">
        <v>1</v>
      </c>
      <c r="O30" s="6" t="str">
        <f t="shared" si="4"/>
        <v>CO2 Emissions</v>
      </c>
      <c r="P30" s="43">
        <f t="shared" si="4"/>
        <v>3.2302160607193188E-2</v>
      </c>
      <c r="R30" s="7">
        <f t="shared" si="12"/>
        <v>2.6086956521739129E-2</v>
      </c>
      <c r="S30" s="7">
        <f t="shared" si="6"/>
        <v>7.1770334928229665E-2</v>
      </c>
      <c r="T30" s="7">
        <f t="shared" si="7"/>
        <v>9.3457943925233655E-3</v>
      </c>
      <c r="U30" s="7">
        <f t="shared" si="8"/>
        <v>4.065040650406504E-2</v>
      </c>
      <c r="V30" s="7">
        <f t="shared" si="9"/>
        <v>1.8137847642079805E-2</v>
      </c>
      <c r="W30" s="7">
        <f t="shared" si="10"/>
        <v>2.564102564102564E-2</v>
      </c>
      <c r="X30" s="7">
        <f t="shared" si="11"/>
        <v>3.4482758620689655E-2</v>
      </c>
    </row>
    <row r="31" spans="5:24" x14ac:dyDescent="0.25">
      <c r="F31" s="53">
        <f>SUM(F24:F30)</f>
        <v>1.0195785907456387</v>
      </c>
    </row>
    <row r="40" spans="5:24" ht="196.9" customHeight="1" x14ac:dyDescent="0.25">
      <c r="E40" s="1" t="s">
        <v>834</v>
      </c>
      <c r="F40" s="2" t="s">
        <v>44</v>
      </c>
      <c r="G40" s="3" t="str">
        <f>E41</f>
        <v>Detection Time</v>
      </c>
      <c r="H40" s="3" t="str">
        <f>E42</f>
        <v>Operational Availability</v>
      </c>
      <c r="I40" s="3" t="str">
        <f>E43</f>
        <v>Response Time</v>
      </c>
      <c r="J40" s="3" t="str">
        <f>E44</f>
        <v>Resolution Time</v>
      </c>
      <c r="K40" s="3" t="str">
        <f>E45</f>
        <v>Interdomain Coordination Latency</v>
      </c>
      <c r="L40" s="3" t="str">
        <f>E46</f>
        <v>Fire Supression Cost Efficiency</v>
      </c>
      <c r="M40" s="3" t="str">
        <f>E47</f>
        <v>CO2 Emissions</v>
      </c>
      <c r="O40" s="41" t="s">
        <v>720</v>
      </c>
      <c r="P40" s="41" t="s">
        <v>2</v>
      </c>
    </row>
    <row r="41" spans="5:24" x14ac:dyDescent="0.25">
      <c r="E41" s="14" t="s">
        <v>829</v>
      </c>
      <c r="F41" s="42">
        <f t="shared" ref="F41:F47" si="13">AVERAGE(R41:X41)</f>
        <v>0.13712474562372429</v>
      </c>
      <c r="G41" s="4">
        <v>1</v>
      </c>
      <c r="H41" s="5">
        <v>1</v>
      </c>
      <c r="I41" s="5">
        <v>1</v>
      </c>
      <c r="J41" s="5">
        <v>1</v>
      </c>
      <c r="K41" s="6">
        <v>3</v>
      </c>
      <c r="L41" s="6">
        <f>1/7</f>
        <v>0.14285714285714285</v>
      </c>
      <c r="M41" s="6">
        <v>9</v>
      </c>
      <c r="O41" s="6" t="str">
        <f t="shared" ref="O41:P47" si="14">E41</f>
        <v>Detection Time</v>
      </c>
      <c r="P41" s="43">
        <f t="shared" si="14"/>
        <v>0.13712474562372429</v>
      </c>
      <c r="R41" s="7">
        <f>G41/SUM(G$41:G$47)</f>
        <v>8.7378640776699046E-2</v>
      </c>
      <c r="S41" s="7">
        <f t="shared" ref="S41:X41" si="15">H41/SUM(H$41:H$47)</f>
        <v>0.19033232628398791</v>
      </c>
      <c r="T41" s="7">
        <f t="shared" si="15"/>
        <v>0.19033232628398791</v>
      </c>
      <c r="U41" s="7">
        <f t="shared" si="15"/>
        <v>0.19033232628398791</v>
      </c>
      <c r="V41" s="7">
        <f t="shared" si="15"/>
        <v>0.10671936758893281</v>
      </c>
      <c r="W41" s="7">
        <f t="shared" si="15"/>
        <v>3.1141868512110728E-2</v>
      </c>
      <c r="X41" s="7">
        <f t="shared" si="15"/>
        <v>0.16363636363636364</v>
      </c>
    </row>
    <row r="42" spans="5:24" x14ac:dyDescent="0.25">
      <c r="E42" s="14" t="s">
        <v>836</v>
      </c>
      <c r="F42" s="42">
        <f t="shared" si="13"/>
        <v>0.18414527436533021</v>
      </c>
      <c r="G42" s="9" cm="1">
        <f t="array" ref="G42">1/INDEX($H$41:$M$41, 1, ROW(A1))</f>
        <v>1</v>
      </c>
      <c r="H42" s="4">
        <v>1</v>
      </c>
      <c r="I42" s="5">
        <v>1</v>
      </c>
      <c r="J42" s="5">
        <v>1</v>
      </c>
      <c r="K42" s="6">
        <v>7</v>
      </c>
      <c r="L42" s="6">
        <v>1</v>
      </c>
      <c r="M42" s="6">
        <v>9</v>
      </c>
      <c r="O42" s="6" t="str">
        <f t="shared" si="14"/>
        <v>Operational Availability</v>
      </c>
      <c r="P42" s="43">
        <f t="shared" si="14"/>
        <v>0.18414527436533021</v>
      </c>
      <c r="R42" s="7">
        <f t="shared" ref="R42:R47" si="16">G42/SUM(G$41:G$47)</f>
        <v>8.7378640776699046E-2</v>
      </c>
      <c r="S42" s="7">
        <f t="shared" ref="S42:S47" si="17">H42/SUM(H$41:H$47)</f>
        <v>0.19033232628398791</v>
      </c>
      <c r="T42" s="7">
        <f t="shared" ref="T42:T47" si="18">I42/SUM(I$41:I$47)</f>
        <v>0.19033232628398791</v>
      </c>
      <c r="U42" s="7">
        <f t="shared" ref="U42:U47" si="19">J42/SUM(J$41:J$47)</f>
        <v>0.19033232628398791</v>
      </c>
      <c r="V42" s="7">
        <f t="shared" ref="V42:V47" si="20">K42/SUM(K$41:K$47)</f>
        <v>0.24901185770750989</v>
      </c>
      <c r="W42" s="7">
        <f t="shared" ref="W42:W47" si="21">L42/SUM(L$41:L$47)</f>
        <v>0.2179930795847751</v>
      </c>
      <c r="X42" s="7">
        <f t="shared" ref="X42:X47" si="22">M42/SUM(M$41:M$47)</f>
        <v>0.16363636363636364</v>
      </c>
    </row>
    <row r="43" spans="5:24" x14ac:dyDescent="0.25">
      <c r="E43" s="14" t="s">
        <v>827</v>
      </c>
      <c r="F43" s="42">
        <f t="shared" si="13"/>
        <v>0.18414527436533021</v>
      </c>
      <c r="G43" s="9" cm="1">
        <f t="array" ref="G43">1/INDEX($H$41:$M$41, 1, ROW(A2))</f>
        <v>1</v>
      </c>
      <c r="H43" s="9" cm="1">
        <f t="array" ref="H43">1/INDEX($I$42:$M$42, 1, ROW(A1))</f>
        <v>1</v>
      </c>
      <c r="I43" s="4">
        <v>1</v>
      </c>
      <c r="J43" s="5">
        <v>1</v>
      </c>
      <c r="K43" s="6">
        <v>7</v>
      </c>
      <c r="L43" s="6">
        <v>1</v>
      </c>
      <c r="M43" s="6">
        <v>9</v>
      </c>
      <c r="O43" s="6" t="str">
        <f t="shared" si="14"/>
        <v>Response Time</v>
      </c>
      <c r="P43" s="43">
        <f t="shared" si="14"/>
        <v>0.18414527436533021</v>
      </c>
      <c r="R43" s="7">
        <f t="shared" si="16"/>
        <v>8.7378640776699046E-2</v>
      </c>
      <c r="S43" s="7">
        <f t="shared" si="17"/>
        <v>0.19033232628398791</v>
      </c>
      <c r="T43" s="7">
        <f t="shared" si="18"/>
        <v>0.19033232628398791</v>
      </c>
      <c r="U43" s="7">
        <f t="shared" si="19"/>
        <v>0.19033232628398791</v>
      </c>
      <c r="V43" s="7">
        <f t="shared" si="20"/>
        <v>0.24901185770750989</v>
      </c>
      <c r="W43" s="7">
        <f t="shared" si="21"/>
        <v>0.2179930795847751</v>
      </c>
      <c r="X43" s="7">
        <f t="shared" si="22"/>
        <v>0.16363636363636364</v>
      </c>
    </row>
    <row r="44" spans="5:24" x14ac:dyDescent="0.25">
      <c r="E44" s="14" t="s">
        <v>828</v>
      </c>
      <c r="F44" s="42">
        <f t="shared" si="13"/>
        <v>0.18414527436533021</v>
      </c>
      <c r="G44" s="9" cm="1">
        <f t="array" ref="G44">1/INDEX($H$41:$M$41, 1, ROW(A3))</f>
        <v>1</v>
      </c>
      <c r="H44" s="9" cm="1">
        <f t="array" ref="H44">1/INDEX($I$42:$M$42, 1, ROW(A2))</f>
        <v>1</v>
      </c>
      <c r="I44" s="9" cm="1">
        <f t="array" ref="I44">1/INDEX($J$43:$M$43, 1, ROW(A1))</f>
        <v>1</v>
      </c>
      <c r="J44" s="4">
        <v>1</v>
      </c>
      <c r="K44" s="6">
        <v>7</v>
      </c>
      <c r="L44" s="6">
        <v>1</v>
      </c>
      <c r="M44" s="6">
        <v>9</v>
      </c>
      <c r="O44" s="6" t="str">
        <f t="shared" si="14"/>
        <v>Resolution Time</v>
      </c>
      <c r="P44" s="43">
        <f t="shared" si="14"/>
        <v>0.18414527436533021</v>
      </c>
      <c r="R44" s="7">
        <f t="shared" si="16"/>
        <v>8.7378640776699046E-2</v>
      </c>
      <c r="S44" s="7">
        <f t="shared" si="17"/>
        <v>0.19033232628398791</v>
      </c>
      <c r="T44" s="7">
        <f t="shared" si="18"/>
        <v>0.19033232628398791</v>
      </c>
      <c r="U44" s="7">
        <f t="shared" si="19"/>
        <v>0.19033232628398791</v>
      </c>
      <c r="V44" s="7">
        <f t="shared" si="20"/>
        <v>0.24901185770750989</v>
      </c>
      <c r="W44" s="7">
        <f t="shared" si="21"/>
        <v>0.2179930795847751</v>
      </c>
      <c r="X44" s="7">
        <f t="shared" si="22"/>
        <v>0.16363636363636364</v>
      </c>
    </row>
    <row r="45" spans="5:24" x14ac:dyDescent="0.25">
      <c r="E45" s="14" t="s">
        <v>830</v>
      </c>
      <c r="F45" s="42">
        <f t="shared" si="13"/>
        <v>5.4653008085526367E-2</v>
      </c>
      <c r="G45" s="9" cm="1">
        <f t="array" ref="G45">1/INDEX($H$41:$M$41, 1, ROW(A4))</f>
        <v>0.33333333333333331</v>
      </c>
      <c r="H45" s="9" cm="1">
        <f t="array" ref="H45">1/INDEX($I$42:$M$42, 1, ROW(A3))</f>
        <v>0.14285714285714285</v>
      </c>
      <c r="I45" s="9" cm="1">
        <f t="array" ref="I45">1/INDEX($J$43:$M$43, 1, ROW(A2))</f>
        <v>0.14285714285714285</v>
      </c>
      <c r="J45" s="14" cm="1">
        <f t="array" ref="J45">1/INDEX($K$44:$M$44, 1, ROW(A1))</f>
        <v>0.14285714285714285</v>
      </c>
      <c r="K45" s="4">
        <v>1</v>
      </c>
      <c r="L45" s="6">
        <f>1/3</f>
        <v>0.33333333333333331</v>
      </c>
      <c r="M45" s="6">
        <v>9</v>
      </c>
      <c r="O45" s="6" t="str">
        <f t="shared" si="14"/>
        <v>Interdomain Coordination Latency</v>
      </c>
      <c r="P45" s="43">
        <f t="shared" si="14"/>
        <v>5.4653008085526367E-2</v>
      </c>
      <c r="R45" s="7">
        <f t="shared" si="16"/>
        <v>2.9126213592233011E-2</v>
      </c>
      <c r="S45" s="7">
        <f t="shared" si="17"/>
        <v>2.7190332326283987E-2</v>
      </c>
      <c r="T45" s="7">
        <f t="shared" si="18"/>
        <v>2.7190332326283987E-2</v>
      </c>
      <c r="U45" s="7">
        <f t="shared" si="19"/>
        <v>2.7190332326283987E-2</v>
      </c>
      <c r="V45" s="7">
        <f t="shared" si="20"/>
        <v>3.5573122529644272E-2</v>
      </c>
      <c r="W45" s="7">
        <f t="shared" si="21"/>
        <v>7.2664359861591699E-2</v>
      </c>
      <c r="X45" s="7">
        <f t="shared" si="22"/>
        <v>0.16363636363636364</v>
      </c>
    </row>
    <row r="46" spans="5:24" x14ac:dyDescent="0.25">
      <c r="E46" s="14" t="s">
        <v>831</v>
      </c>
      <c r="F46" s="42">
        <f t="shared" si="13"/>
        <v>0.23871375358556121</v>
      </c>
      <c r="G46" s="9" cm="1">
        <f t="array" ref="G46">1/INDEX($H$41:$M$41, 1, ROW(A5))</f>
        <v>7</v>
      </c>
      <c r="H46" s="9" cm="1">
        <f t="array" ref="H46">1/INDEX($I$42:$M$42, 1, ROW(A4))</f>
        <v>1</v>
      </c>
      <c r="I46" s="9" cm="1">
        <f t="array" ref="I46">1/INDEX($J$43:$M$43, 1, ROW(A3))</f>
        <v>1</v>
      </c>
      <c r="J46" s="14" cm="1">
        <f t="array" ref="J46">1/INDEX($K$44:$M$44, 1, ROW(A2))</f>
        <v>1</v>
      </c>
      <c r="K46" s="14" cm="1">
        <f t="array" ref="K46">1/INDEX($L$45:$M$45, 1, ROW(A1))</f>
        <v>3</v>
      </c>
      <c r="L46" s="4">
        <v>1</v>
      </c>
      <c r="M46" s="6">
        <v>9</v>
      </c>
      <c r="O46" s="6" t="str">
        <f t="shared" si="14"/>
        <v>Fire Supression Cost Efficiency</v>
      </c>
      <c r="P46" s="43">
        <f t="shared" si="14"/>
        <v>0.23871375358556121</v>
      </c>
      <c r="R46" s="7">
        <f t="shared" si="16"/>
        <v>0.61165048543689327</v>
      </c>
      <c r="S46" s="7">
        <f t="shared" si="17"/>
        <v>0.19033232628398791</v>
      </c>
      <c r="T46" s="7">
        <f t="shared" si="18"/>
        <v>0.19033232628398791</v>
      </c>
      <c r="U46" s="7">
        <f t="shared" si="19"/>
        <v>0.19033232628398791</v>
      </c>
      <c r="V46" s="7">
        <f t="shared" si="20"/>
        <v>0.10671936758893281</v>
      </c>
      <c r="W46" s="7">
        <f t="shared" si="21"/>
        <v>0.2179930795847751</v>
      </c>
      <c r="X46" s="7">
        <f t="shared" si="22"/>
        <v>0.16363636363636364</v>
      </c>
    </row>
    <row r="47" spans="5:24" x14ac:dyDescent="0.25">
      <c r="E47" s="14" t="s">
        <v>832</v>
      </c>
      <c r="F47" s="42">
        <f t="shared" si="13"/>
        <v>1.7072669609197549E-2</v>
      </c>
      <c r="G47" s="9" cm="1">
        <f t="array" ref="G47">1/INDEX($H$41:$M$41, 1, ROW(A6))</f>
        <v>0.1111111111111111</v>
      </c>
      <c r="H47" s="9" cm="1">
        <f t="array" ref="H47">1/INDEX($I$42:$M$42, 1, ROW(A5))</f>
        <v>0.1111111111111111</v>
      </c>
      <c r="I47" s="9" cm="1">
        <f t="array" ref="I47">1/INDEX($J$43:$M$43, 1, ROW(A4))</f>
        <v>0.1111111111111111</v>
      </c>
      <c r="J47" s="14" cm="1">
        <f t="array" ref="J47">1/INDEX($K$44:$M$44, 1, ROW(A3))</f>
        <v>0.1111111111111111</v>
      </c>
      <c r="K47" s="14" cm="1">
        <f t="array" ref="K47">1/INDEX($L$45:$M$45, 1, ROW(A2))</f>
        <v>0.1111111111111111</v>
      </c>
      <c r="L47" s="14" cm="1">
        <f t="array" ref="L47">1/INDEX($M$46:$M$46, 1, ROW(A1))</f>
        <v>0.1111111111111111</v>
      </c>
      <c r="M47" s="4">
        <v>1</v>
      </c>
      <c r="O47" s="6" t="str">
        <f t="shared" si="14"/>
        <v>CO2 Emissions</v>
      </c>
      <c r="P47" s="43">
        <f t="shared" si="14"/>
        <v>1.7072669609197549E-2</v>
      </c>
      <c r="R47" s="7">
        <f t="shared" si="16"/>
        <v>9.7087378640776708E-3</v>
      </c>
      <c r="S47" s="7">
        <f t="shared" si="17"/>
        <v>2.1148036253776432E-2</v>
      </c>
      <c r="T47" s="7">
        <f t="shared" si="18"/>
        <v>2.1148036253776432E-2</v>
      </c>
      <c r="U47" s="7">
        <f t="shared" si="19"/>
        <v>2.1148036253776432E-2</v>
      </c>
      <c r="V47" s="7">
        <f t="shared" si="20"/>
        <v>3.952569169960474E-3</v>
      </c>
      <c r="W47" s="7">
        <f t="shared" si="21"/>
        <v>2.4221453287197232E-2</v>
      </c>
      <c r="X47" s="7">
        <f t="shared" si="22"/>
        <v>1.8181818181818181E-2</v>
      </c>
    </row>
    <row r="48" spans="5:24" x14ac:dyDescent="0.25">
      <c r="F48" s="30">
        <f>SUM(F41:F47)</f>
        <v>1.0000000000000002</v>
      </c>
    </row>
  </sheetData>
  <mergeCells count="3">
    <mergeCell ref="B2:C2"/>
    <mergeCell ref="E4:E5"/>
    <mergeCell ref="E6:E7"/>
  </mergeCells>
  <pageMargins left="0.7" right="0.7" top="0.75" bottom="0.75" header="0.3" footer="0.3"/>
  <pageSetup orientation="portrait" r:id="rId1"/>
  <headerFooter>
    <oddFooter>&amp;C_x000D_&amp;1#&amp;"Calibri"&amp;10&amp;K000000 Non-Sensitive</oddFooter>
  </headerFooter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DAEA33-5452-4C3A-BC4A-F9E08A53EDEC}">
  <dimension ref="B1:R39"/>
  <sheetViews>
    <sheetView showGridLines="0" topLeftCell="A10" zoomScale="78" zoomScaleNormal="85" workbookViewId="0">
      <selection activeCell="J24" sqref="J24"/>
    </sheetView>
  </sheetViews>
  <sheetFormatPr defaultRowHeight="15" x14ac:dyDescent="0.25"/>
  <cols>
    <col min="2" max="2" width="12.28515625" bestFit="1" customWidth="1"/>
    <col min="3" max="3" width="28.5703125" bestFit="1" customWidth="1"/>
    <col min="5" max="5" width="43.85546875" customWidth="1"/>
    <col min="6" max="6" width="26" customWidth="1"/>
    <col min="7" max="10" width="4.5703125" customWidth="1"/>
    <col min="12" max="12" width="31.7109375" bestFit="1" customWidth="1"/>
    <col min="13" max="13" width="23.85546875" bestFit="1" customWidth="1"/>
    <col min="15" max="15" width="12.7109375" bestFit="1" customWidth="1"/>
  </cols>
  <sheetData>
    <row r="1" spans="2:18" ht="15.75" thickBot="1" x14ac:dyDescent="0.3"/>
    <row r="2" spans="2:18" ht="15.75" thickBot="1" x14ac:dyDescent="0.3">
      <c r="B2" s="61" t="s">
        <v>0</v>
      </c>
      <c r="C2" s="62"/>
      <c r="E2" s="16" t="s">
        <v>1</v>
      </c>
    </row>
    <row r="3" spans="2:18" ht="15.75" thickBot="1" x14ac:dyDescent="0.3">
      <c r="B3" s="8" t="s">
        <v>2</v>
      </c>
      <c r="C3" s="8" t="s">
        <v>3</v>
      </c>
      <c r="E3" s="6" t="s">
        <v>4</v>
      </c>
    </row>
    <row r="4" spans="2:18" ht="15" customHeight="1" x14ac:dyDescent="0.25">
      <c r="B4" s="10">
        <v>1</v>
      </c>
      <c r="C4" s="11" t="s">
        <v>5</v>
      </c>
      <c r="E4" s="63" t="s">
        <v>6</v>
      </c>
    </row>
    <row r="5" spans="2:18" x14ac:dyDescent="0.25">
      <c r="B5" s="12">
        <v>3</v>
      </c>
      <c r="C5" s="13" t="s">
        <v>7</v>
      </c>
      <c r="E5" s="64"/>
    </row>
    <row r="6" spans="2:18" x14ac:dyDescent="0.25">
      <c r="B6" s="12">
        <v>5</v>
      </c>
      <c r="C6" s="13" t="s">
        <v>8</v>
      </c>
      <c r="E6" s="65" t="s">
        <v>9</v>
      </c>
    </row>
    <row r="7" spans="2:18" x14ac:dyDescent="0.25">
      <c r="B7" s="12">
        <v>7</v>
      </c>
      <c r="C7" s="13" t="s">
        <v>10</v>
      </c>
      <c r="E7" s="65"/>
    </row>
    <row r="8" spans="2:18" x14ac:dyDescent="0.25">
      <c r="B8" s="12">
        <v>9</v>
      </c>
      <c r="C8" s="13" t="s">
        <v>11</v>
      </c>
    </row>
    <row r="10" spans="2:18" ht="196.7" customHeight="1" x14ac:dyDescent="0.25">
      <c r="E10" s="1" t="s">
        <v>839</v>
      </c>
      <c r="F10" s="2" t="s">
        <v>44</v>
      </c>
      <c r="G10" s="3" t="str">
        <f>E11</f>
        <v>Resolution Time</v>
      </c>
      <c r="H10" s="3" t="str">
        <f>E12</f>
        <v>Burn Burden</v>
      </c>
      <c r="I10" s="3" t="str">
        <f>E13</f>
        <v>Total Cost</v>
      </c>
      <c r="J10" s="3" t="str">
        <f>E14</f>
        <v>CO2 Emissions</v>
      </c>
      <c r="L10" s="41" t="s">
        <v>720</v>
      </c>
      <c r="M10" s="41" t="s">
        <v>2</v>
      </c>
    </row>
    <row r="11" spans="2:18" x14ac:dyDescent="0.25">
      <c r="E11" s="14" t="s">
        <v>828</v>
      </c>
      <c r="F11" s="50">
        <f>AVERAGE(O11:R11)</f>
        <v>0.45913461538461542</v>
      </c>
      <c r="G11" s="4">
        <v>1</v>
      </c>
      <c r="H11" s="6">
        <v>1</v>
      </c>
      <c r="I11" s="6">
        <v>5</v>
      </c>
      <c r="J11" s="6">
        <v>9</v>
      </c>
      <c r="L11" s="6" t="str">
        <f t="shared" ref="L11:M14" si="0">E11</f>
        <v>Resolution Time</v>
      </c>
      <c r="M11" s="43">
        <f t="shared" si="0"/>
        <v>0.45913461538461542</v>
      </c>
      <c r="O11" s="7">
        <f t="shared" ref="O11:R14" si="1">G11/SUM(G$11:G$14)</f>
        <v>0.43269230769230765</v>
      </c>
      <c r="P11" s="7">
        <f t="shared" si="1"/>
        <v>0.40384615384615385</v>
      </c>
      <c r="Q11" s="7">
        <f t="shared" si="1"/>
        <v>0.35714285714285715</v>
      </c>
      <c r="R11" s="7">
        <f t="shared" si="1"/>
        <v>0.6428571428571429</v>
      </c>
    </row>
    <row r="12" spans="2:18" x14ac:dyDescent="0.25">
      <c r="E12" s="14" t="s">
        <v>838</v>
      </c>
      <c r="F12" s="50">
        <f>AVERAGE(O12:R12)</f>
        <v>0.38770604395604391</v>
      </c>
      <c r="G12" s="14" cm="1">
        <f t="array" ref="G12">1/INDEX($H$11:$J$11, 1, ROW(A1))</f>
        <v>1</v>
      </c>
      <c r="H12" s="4">
        <v>1</v>
      </c>
      <c r="I12" s="6">
        <v>7</v>
      </c>
      <c r="J12" s="6">
        <v>3</v>
      </c>
      <c r="L12" s="6" t="str">
        <f t="shared" si="0"/>
        <v>Burn Burden</v>
      </c>
      <c r="M12" s="43">
        <f t="shared" si="0"/>
        <v>0.38770604395604391</v>
      </c>
      <c r="O12" s="7">
        <f t="shared" si="1"/>
        <v>0.43269230769230765</v>
      </c>
      <c r="P12" s="7">
        <f t="shared" si="1"/>
        <v>0.40384615384615385</v>
      </c>
      <c r="Q12" s="7">
        <f t="shared" si="1"/>
        <v>0.5</v>
      </c>
      <c r="R12" s="7">
        <f t="shared" si="1"/>
        <v>0.21428571428571427</v>
      </c>
    </row>
    <row r="13" spans="2:18" x14ac:dyDescent="0.25">
      <c r="E13" s="14" t="s">
        <v>837</v>
      </c>
      <c r="F13" s="50">
        <f>AVERAGE(O13:R13)</f>
        <v>7.1771978021978017E-2</v>
      </c>
      <c r="G13" s="14" cm="1">
        <f t="array" ref="G13">1/INDEX($H$11:$J$11, 1, ROW(A2))</f>
        <v>0.2</v>
      </c>
      <c r="H13" s="14" cm="1">
        <f t="array" ref="H13">1/INDEX($I$12:$J$12, 1, ROW(A1))</f>
        <v>0.14285714285714285</v>
      </c>
      <c r="I13" s="4">
        <v>1</v>
      </c>
      <c r="J13" s="6">
        <v>1</v>
      </c>
      <c r="L13" s="6" t="str">
        <f t="shared" si="0"/>
        <v>Total Cost</v>
      </c>
      <c r="M13" s="43">
        <f t="shared" si="0"/>
        <v>7.1771978021978017E-2</v>
      </c>
      <c r="O13" s="7">
        <f t="shared" si="1"/>
        <v>8.6538461538461536E-2</v>
      </c>
      <c r="P13" s="7">
        <f t="shared" si="1"/>
        <v>5.7692307692307689E-2</v>
      </c>
      <c r="Q13" s="7">
        <f t="shared" si="1"/>
        <v>7.1428571428571425E-2</v>
      </c>
      <c r="R13" s="7">
        <f t="shared" si="1"/>
        <v>7.1428571428571425E-2</v>
      </c>
    </row>
    <row r="14" spans="2:18" x14ac:dyDescent="0.25">
      <c r="E14" s="14" t="s">
        <v>832</v>
      </c>
      <c r="F14" s="50">
        <f>AVERAGE(O14:R14)</f>
        <v>8.1387362637362626E-2</v>
      </c>
      <c r="G14" s="14" cm="1">
        <f t="array" ref="G14">1/INDEX($H$11:$J$11, 1, ROW(A3))</f>
        <v>0.1111111111111111</v>
      </c>
      <c r="H14" s="14" cm="1">
        <f t="array" ref="H14">1/INDEX($I$12:$J$12, 1, ROW(A2))</f>
        <v>0.33333333333333331</v>
      </c>
      <c r="I14" s="14" cm="1">
        <f t="array" ref="I14">1/INDEX($J$13:$J$13, 1, ROW(A1))</f>
        <v>1</v>
      </c>
      <c r="J14" s="4">
        <v>1</v>
      </c>
      <c r="L14" s="6" t="str">
        <f t="shared" si="0"/>
        <v>CO2 Emissions</v>
      </c>
      <c r="M14" s="43">
        <f t="shared" si="0"/>
        <v>8.1387362637362626E-2</v>
      </c>
      <c r="O14" s="7">
        <f t="shared" si="1"/>
        <v>4.8076923076923073E-2</v>
      </c>
      <c r="P14" s="7">
        <f t="shared" si="1"/>
        <v>0.13461538461538461</v>
      </c>
      <c r="Q14" s="7">
        <f t="shared" si="1"/>
        <v>7.1428571428571425E-2</v>
      </c>
      <c r="R14" s="7">
        <f t="shared" si="1"/>
        <v>7.1428571428571425E-2</v>
      </c>
    </row>
    <row r="15" spans="2:18" hidden="1" x14ac:dyDescent="0.25">
      <c r="F15" s="58">
        <f>SUM(F11:F14)</f>
        <v>1</v>
      </c>
    </row>
    <row r="16" spans="2:18" hidden="1" x14ac:dyDescent="0.25">
      <c r="F16" s="59"/>
    </row>
    <row r="17" spans="5:18" hidden="1" x14ac:dyDescent="0.25">
      <c r="F17" s="59"/>
    </row>
    <row r="18" spans="5:18" hidden="1" x14ac:dyDescent="0.25">
      <c r="F18" s="59"/>
    </row>
    <row r="19" spans="5:18" x14ac:dyDescent="0.25">
      <c r="F19" s="59"/>
    </row>
    <row r="20" spans="5:18" ht="196.9" customHeight="1" x14ac:dyDescent="0.25">
      <c r="E20" s="1" t="s">
        <v>835</v>
      </c>
      <c r="F20" s="60" t="s">
        <v>44</v>
      </c>
      <c r="G20" s="3" t="str">
        <f>E21</f>
        <v>Resolution Time</v>
      </c>
      <c r="H20" s="3" t="str">
        <f>E22</f>
        <v>Burn Burden</v>
      </c>
      <c r="I20" s="3" t="str">
        <f>E23</f>
        <v>Total Cost</v>
      </c>
      <c r="J20" s="3" t="str">
        <f>E24</f>
        <v>CO2 Emissions</v>
      </c>
      <c r="L20" s="41" t="s">
        <v>720</v>
      </c>
      <c r="M20" s="41" t="s">
        <v>2</v>
      </c>
    </row>
    <row r="21" spans="5:18" x14ac:dyDescent="0.25">
      <c r="E21" s="14" t="s">
        <v>828</v>
      </c>
      <c r="F21" s="50">
        <f>AVERAGE(O21:R21)</f>
        <v>0.38266253869969036</v>
      </c>
      <c r="G21" s="4">
        <v>1</v>
      </c>
      <c r="H21" s="6">
        <v>1</v>
      </c>
      <c r="I21" s="6">
        <v>3</v>
      </c>
      <c r="J21" s="6">
        <v>5</v>
      </c>
      <c r="L21" s="6" t="str">
        <f t="shared" ref="L21:M24" si="2">E21</f>
        <v>Resolution Time</v>
      </c>
      <c r="M21" s="43">
        <f t="shared" si="2"/>
        <v>0.38266253869969036</v>
      </c>
      <c r="O21" s="7">
        <f t="shared" ref="O21:R24" si="3">G21/SUM(G$21:G$24)</f>
        <v>0.39473684210526311</v>
      </c>
      <c r="P21" s="7">
        <f t="shared" si="3"/>
        <v>0.39473684210526311</v>
      </c>
      <c r="Q21" s="7">
        <f t="shared" si="3"/>
        <v>0.3</v>
      </c>
      <c r="R21" s="7">
        <f t="shared" si="3"/>
        <v>0.44117647058823528</v>
      </c>
    </row>
    <row r="22" spans="5:18" x14ac:dyDescent="0.25">
      <c r="E22" s="14" t="s">
        <v>838</v>
      </c>
      <c r="F22" s="50">
        <f>AVERAGE(O22:R22)</f>
        <v>0.38266253869969036</v>
      </c>
      <c r="G22" s="14" cm="1">
        <f t="array" ref="G22">1/INDEX($H$21:$J$21, 1, ROW(A1))</f>
        <v>1</v>
      </c>
      <c r="H22" s="4">
        <v>1</v>
      </c>
      <c r="I22" s="6">
        <v>3</v>
      </c>
      <c r="J22" s="6">
        <v>5</v>
      </c>
      <c r="L22" s="6" t="str">
        <f t="shared" si="2"/>
        <v>Burn Burden</v>
      </c>
      <c r="M22" s="43">
        <f t="shared" si="2"/>
        <v>0.38266253869969036</v>
      </c>
      <c r="O22" s="7">
        <f t="shared" si="3"/>
        <v>0.39473684210526311</v>
      </c>
      <c r="P22" s="7">
        <f t="shared" si="3"/>
        <v>0.39473684210526311</v>
      </c>
      <c r="Q22" s="7">
        <f t="shared" si="3"/>
        <v>0.3</v>
      </c>
      <c r="R22" s="7">
        <f t="shared" si="3"/>
        <v>0.44117647058823528</v>
      </c>
    </row>
    <row r="23" spans="5:18" x14ac:dyDescent="0.25">
      <c r="E23" s="14" t="s">
        <v>837</v>
      </c>
      <c r="F23" s="50">
        <f>AVERAGE(O23:R23)</f>
        <v>9.8142414860681093E-2</v>
      </c>
      <c r="G23" s="14" cm="1">
        <f t="array" ref="G23">1/INDEX($H$21:$J$21, 1, ROW(A2))</f>
        <v>0.33333333333333331</v>
      </c>
      <c r="H23" s="14" cm="1">
        <f t="array" ref="H23">1/INDEX($I$22:$J$22, 1, ROW(A1))</f>
        <v>0.33333333333333331</v>
      </c>
      <c r="I23" s="4">
        <v>1</v>
      </c>
      <c r="J23" s="6">
        <f>1/3</f>
        <v>0.33333333333333331</v>
      </c>
      <c r="L23" s="6" t="str">
        <f t="shared" si="2"/>
        <v>Total Cost</v>
      </c>
      <c r="M23" s="43">
        <f t="shared" si="2"/>
        <v>9.8142414860681093E-2</v>
      </c>
      <c r="O23" s="7">
        <f t="shared" si="3"/>
        <v>0.13157894736842102</v>
      </c>
      <c r="P23" s="7">
        <f t="shared" si="3"/>
        <v>0.13157894736842102</v>
      </c>
      <c r="Q23" s="7">
        <f t="shared" si="3"/>
        <v>0.1</v>
      </c>
      <c r="R23" s="7">
        <f t="shared" si="3"/>
        <v>2.9411764705882349E-2</v>
      </c>
    </row>
    <row r="24" spans="5:18" x14ac:dyDescent="0.25">
      <c r="E24" s="14" t="s">
        <v>832</v>
      </c>
      <c r="F24" s="50">
        <f>AVERAGE(O24:R24)</f>
        <v>0.13653250773993808</v>
      </c>
      <c r="G24" s="14" cm="1">
        <f t="array" ref="G24">1/INDEX($H$21:$J$21, 1, ROW(A3))</f>
        <v>0.2</v>
      </c>
      <c r="H24" s="14" cm="1">
        <f t="array" ref="H24">1/INDEX($I$22:$J$22, 1, ROW(A2))</f>
        <v>0.2</v>
      </c>
      <c r="I24" s="14" cm="1">
        <f t="array" ref="I24">1/INDEX($J$23:$J$23, 1, ROW(A1))</f>
        <v>3</v>
      </c>
      <c r="J24" s="4">
        <v>1</v>
      </c>
      <c r="L24" s="6" t="str">
        <f t="shared" si="2"/>
        <v>CO2 Emissions</v>
      </c>
      <c r="M24" s="43">
        <f t="shared" si="2"/>
        <v>0.13653250773993808</v>
      </c>
      <c r="O24" s="7">
        <f t="shared" si="3"/>
        <v>7.8947368421052627E-2</v>
      </c>
      <c r="P24" s="7">
        <f t="shared" si="3"/>
        <v>7.8947368421052627E-2</v>
      </c>
      <c r="Q24" s="7">
        <f t="shared" si="3"/>
        <v>0.3</v>
      </c>
      <c r="R24" s="7">
        <f t="shared" si="3"/>
        <v>8.8235294117647051E-2</v>
      </c>
    </row>
    <row r="25" spans="5:18" hidden="1" x14ac:dyDescent="0.25">
      <c r="F25" s="58">
        <f>SUM(F21:F24)</f>
        <v>0.99999999999999989</v>
      </c>
    </row>
    <row r="26" spans="5:18" hidden="1" x14ac:dyDescent="0.25">
      <c r="F26" s="59"/>
    </row>
    <row r="27" spans="5:18" hidden="1" x14ac:dyDescent="0.25">
      <c r="F27" s="59"/>
    </row>
    <row r="28" spans="5:18" hidden="1" x14ac:dyDescent="0.25">
      <c r="F28" s="59"/>
    </row>
    <row r="29" spans="5:18" hidden="1" x14ac:dyDescent="0.25">
      <c r="F29" s="59"/>
    </row>
    <row r="30" spans="5:18" hidden="1" x14ac:dyDescent="0.25">
      <c r="F30" s="59"/>
    </row>
    <row r="31" spans="5:18" hidden="1" x14ac:dyDescent="0.25">
      <c r="F31" s="59"/>
    </row>
    <row r="32" spans="5:18" hidden="1" x14ac:dyDescent="0.25">
      <c r="F32" s="59"/>
    </row>
    <row r="33" spans="5:18" x14ac:dyDescent="0.25">
      <c r="F33" s="59"/>
    </row>
    <row r="34" spans="5:18" ht="196.9" customHeight="1" x14ac:dyDescent="0.25">
      <c r="E34" s="1" t="s">
        <v>834</v>
      </c>
      <c r="F34" s="60" t="s">
        <v>44</v>
      </c>
      <c r="G34" s="3" t="str">
        <f>E35</f>
        <v>Resolution Time</v>
      </c>
      <c r="H34" s="3" t="str">
        <f>E36</f>
        <v>Burn Burden</v>
      </c>
      <c r="I34" s="3" t="str">
        <f>E37</f>
        <v>Total Cost</v>
      </c>
      <c r="J34" s="3" t="str">
        <f>E38</f>
        <v>CO2 Emissions</v>
      </c>
      <c r="L34" s="41" t="s">
        <v>720</v>
      </c>
      <c r="M34" s="41" t="s">
        <v>2</v>
      </c>
    </row>
    <row r="35" spans="5:18" x14ac:dyDescent="0.25">
      <c r="E35" s="14" t="s">
        <v>828</v>
      </c>
      <c r="F35" s="50">
        <f>AVERAGE(O35:R35)</f>
        <v>0.45549591253816613</v>
      </c>
      <c r="G35" s="4">
        <v>1</v>
      </c>
      <c r="H35" s="6">
        <v>1</v>
      </c>
      <c r="I35" s="6">
        <v>9</v>
      </c>
      <c r="J35" s="6">
        <v>9</v>
      </c>
      <c r="L35" s="6" t="str">
        <f t="shared" ref="L35:M38" si="4">E35</f>
        <v>Resolution Time</v>
      </c>
      <c r="M35" s="43">
        <f t="shared" si="4"/>
        <v>0.45549591253816613</v>
      </c>
      <c r="O35" s="7">
        <f t="shared" ref="O35:R38" si="5">G35/SUM(G$35:G$38)</f>
        <v>0.44999999999999996</v>
      </c>
      <c r="P35" s="7">
        <f t="shared" si="5"/>
        <v>0.44366197183098594</v>
      </c>
      <c r="Q35" s="7">
        <f t="shared" si="5"/>
        <v>0.51923076923076927</v>
      </c>
      <c r="R35" s="7">
        <f t="shared" si="5"/>
        <v>0.40909090909090912</v>
      </c>
    </row>
    <row r="36" spans="5:18" x14ac:dyDescent="0.25">
      <c r="E36" s="14" t="s">
        <v>838</v>
      </c>
      <c r="F36" s="50">
        <f>AVERAGE(O36:R36)</f>
        <v>0.42664975869201227</v>
      </c>
      <c r="G36" s="14" cm="1">
        <f t="array" ref="G36">1/INDEX($H$35:$J$35, 1, ROW(A1))</f>
        <v>1</v>
      </c>
      <c r="H36" s="4">
        <v>1</v>
      </c>
      <c r="I36" s="6">
        <v>7</v>
      </c>
      <c r="J36" s="6">
        <v>9</v>
      </c>
      <c r="L36" s="6" t="str">
        <f t="shared" si="4"/>
        <v>Burn Burden</v>
      </c>
      <c r="M36" s="43">
        <f t="shared" si="4"/>
        <v>0.42664975869201227</v>
      </c>
      <c r="O36" s="7">
        <f t="shared" si="5"/>
        <v>0.44999999999999996</v>
      </c>
      <c r="P36" s="7">
        <f t="shared" si="5"/>
        <v>0.44366197183098594</v>
      </c>
      <c r="Q36" s="7">
        <f t="shared" si="5"/>
        <v>0.40384615384615385</v>
      </c>
      <c r="R36" s="7">
        <f t="shared" si="5"/>
        <v>0.40909090909090912</v>
      </c>
    </row>
    <row r="37" spans="5:18" x14ac:dyDescent="0.25">
      <c r="E37" s="14" t="s">
        <v>837</v>
      </c>
      <c r="F37" s="50">
        <f>AVERAGE(O37:R37)</f>
        <v>7.6859056436521217E-2</v>
      </c>
      <c r="G37" s="14" cm="1">
        <f t="array" ref="G37">1/INDEX($H$35:$J$35, 1, ROW(A2))</f>
        <v>0.1111111111111111</v>
      </c>
      <c r="H37" s="14" cm="1">
        <f t="array" ref="H37">1/INDEX($I$36:$J$36, 1, ROW(A1))</f>
        <v>0.14285714285714285</v>
      </c>
      <c r="I37" s="4">
        <v>1</v>
      </c>
      <c r="J37" s="6">
        <v>3</v>
      </c>
      <c r="L37" s="6" t="str">
        <f t="shared" si="4"/>
        <v>Total Cost</v>
      </c>
      <c r="M37" s="43">
        <f t="shared" si="4"/>
        <v>7.6859056436521217E-2</v>
      </c>
      <c r="O37" s="7">
        <f t="shared" si="5"/>
        <v>4.9999999999999996E-2</v>
      </c>
      <c r="P37" s="7">
        <f t="shared" si="5"/>
        <v>6.3380281690140844E-2</v>
      </c>
      <c r="Q37" s="7">
        <f t="shared" si="5"/>
        <v>5.7692307692307696E-2</v>
      </c>
      <c r="R37" s="7">
        <f t="shared" si="5"/>
        <v>0.13636363636363635</v>
      </c>
    </row>
    <row r="38" spans="5:18" x14ac:dyDescent="0.25">
      <c r="E38" s="14" t="s">
        <v>832</v>
      </c>
      <c r="F38" s="50">
        <f>AVERAGE(O38:R38)</f>
        <v>4.0995272333300498E-2</v>
      </c>
      <c r="G38" s="14" cm="1">
        <f t="array" ref="G38">1/INDEX($H$35:$J$35, 1, ROW(A3))</f>
        <v>0.1111111111111111</v>
      </c>
      <c r="H38" s="14" cm="1">
        <f t="array" ref="H38">1/INDEX($I$36:$J$36, 1, ROW(A2))</f>
        <v>0.1111111111111111</v>
      </c>
      <c r="I38" s="14" cm="1">
        <f t="array" ref="I38">1/INDEX($J$37:$J$37, 1, ROW(A1))</f>
        <v>0.33333333333333331</v>
      </c>
      <c r="J38" s="4">
        <v>1</v>
      </c>
      <c r="L38" s="6" t="str">
        <f t="shared" si="4"/>
        <v>CO2 Emissions</v>
      </c>
      <c r="M38" s="43">
        <f t="shared" si="4"/>
        <v>4.0995272333300498E-2</v>
      </c>
      <c r="O38" s="7">
        <f t="shared" si="5"/>
        <v>4.9999999999999996E-2</v>
      </c>
      <c r="P38" s="7">
        <f t="shared" si="5"/>
        <v>4.9295774647887321E-2</v>
      </c>
      <c r="Q38" s="7">
        <f t="shared" si="5"/>
        <v>1.9230769230769232E-2</v>
      </c>
      <c r="R38" s="7">
        <f t="shared" si="5"/>
        <v>4.5454545454545456E-2</v>
      </c>
    </row>
    <row r="39" spans="5:18" hidden="1" x14ac:dyDescent="0.25">
      <c r="F39" s="30">
        <f>SUM(F35:F38)</f>
        <v>1.0000000000000002</v>
      </c>
    </row>
  </sheetData>
  <mergeCells count="3">
    <mergeCell ref="B2:C2"/>
    <mergeCell ref="E4:E5"/>
    <mergeCell ref="E6:E7"/>
  </mergeCells>
  <pageMargins left="0.7" right="0.7" top="0.75" bottom="0.75" header="0.3" footer="0.3"/>
  <pageSetup orientation="portrait" r:id="rId1"/>
  <headerFooter>
    <oddFooter>&amp;C_x000D_&amp;1#&amp;"Calibri"&amp;10&amp;K000000 Non-Sensitive</oddFooter>
  </headerFooter>
  <drawing r:id="rId2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99DF76-2E35-4D5C-B0EC-160C74067085}">
  <dimension ref="A1:I6"/>
  <sheetViews>
    <sheetView workbookViewId="0">
      <selection activeCell="E2" sqref="E2:I2"/>
    </sheetView>
  </sheetViews>
  <sheetFormatPr defaultRowHeight="15" x14ac:dyDescent="0.25"/>
  <cols>
    <col min="1" max="1" width="31.140625" bestFit="1" customWidth="1"/>
    <col min="2" max="2" width="17.7109375" bestFit="1" customWidth="1"/>
    <col min="3" max="3" width="121.7109375" bestFit="1" customWidth="1"/>
  </cols>
  <sheetData>
    <row r="1" spans="1:9" x14ac:dyDescent="0.25">
      <c r="A1" s="18" t="s">
        <v>104</v>
      </c>
      <c r="B1" s="18" t="s">
        <v>105</v>
      </c>
      <c r="C1" s="18" t="s">
        <v>70</v>
      </c>
    </row>
    <row r="2" spans="1:9" x14ac:dyDescent="0.25">
      <c r="A2" s="6" t="s">
        <v>38</v>
      </c>
      <c r="B2" s="6">
        <f>3</f>
        <v>3</v>
      </c>
      <c r="C2" s="6" t="s">
        <v>572</v>
      </c>
      <c r="E2" s="6">
        <f>3</f>
        <v>3</v>
      </c>
      <c r="F2" s="6">
        <f>5</f>
        <v>5</v>
      </c>
      <c r="G2" s="6">
        <f>5</f>
        <v>5</v>
      </c>
      <c r="H2" s="6">
        <f>4</f>
        <v>4</v>
      </c>
      <c r="I2" s="6">
        <f>4</f>
        <v>4</v>
      </c>
    </row>
    <row r="3" spans="1:9" x14ac:dyDescent="0.25">
      <c r="A3" s="6" t="s">
        <v>39</v>
      </c>
      <c r="B3" s="6">
        <f>5</f>
        <v>5</v>
      </c>
      <c r="C3" s="6" t="s">
        <v>573</v>
      </c>
    </row>
    <row r="4" spans="1:9" x14ac:dyDescent="0.25">
      <c r="A4" s="6" t="s">
        <v>40</v>
      </c>
      <c r="B4" s="6">
        <f>5</f>
        <v>5</v>
      </c>
      <c r="C4" s="6" t="s">
        <v>574</v>
      </c>
    </row>
    <row r="5" spans="1:9" x14ac:dyDescent="0.25">
      <c r="A5" s="6" t="s">
        <v>41</v>
      </c>
      <c r="B5" s="6">
        <f>4</f>
        <v>4</v>
      </c>
      <c r="C5" s="6" t="s">
        <v>575</v>
      </c>
    </row>
    <row r="6" spans="1:9" x14ac:dyDescent="0.25">
      <c r="A6" s="6" t="s">
        <v>42</v>
      </c>
      <c r="B6" s="6">
        <f>4</f>
        <v>4</v>
      </c>
      <c r="C6" s="6" t="s">
        <v>576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2D847D-E44D-48F2-8792-71B79D1181AF}">
  <dimension ref="A1:G4"/>
  <sheetViews>
    <sheetView workbookViewId="0">
      <selection activeCell="E2" sqref="E2:G2"/>
    </sheetView>
  </sheetViews>
  <sheetFormatPr defaultRowHeight="15" x14ac:dyDescent="0.25"/>
  <cols>
    <col min="1" max="1" width="31.140625" bestFit="1" customWidth="1"/>
    <col min="2" max="2" width="17.7109375" bestFit="1" customWidth="1"/>
    <col min="3" max="3" width="95.42578125" bestFit="1" customWidth="1"/>
  </cols>
  <sheetData>
    <row r="1" spans="1:7" x14ac:dyDescent="0.25">
      <c r="A1" s="29" t="s">
        <v>104</v>
      </c>
      <c r="B1" s="29" t="s">
        <v>105</v>
      </c>
      <c r="C1" s="29" t="s">
        <v>70</v>
      </c>
    </row>
    <row r="2" spans="1:7" x14ac:dyDescent="0.25">
      <c r="A2" s="6" t="s">
        <v>40</v>
      </c>
      <c r="B2" s="6">
        <f>3</f>
        <v>3</v>
      </c>
      <c r="C2" s="6" t="s">
        <v>581</v>
      </c>
      <c r="E2" s="6">
        <f>3</f>
        <v>3</v>
      </c>
      <c r="F2" s="6">
        <f>2</f>
        <v>2</v>
      </c>
      <c r="G2" s="6">
        <f>1/2</f>
        <v>0.5</v>
      </c>
    </row>
    <row r="3" spans="1:7" x14ac:dyDescent="0.25">
      <c r="A3" s="6" t="s">
        <v>41</v>
      </c>
      <c r="B3" s="6">
        <f>2</f>
        <v>2</v>
      </c>
      <c r="C3" s="6" t="s">
        <v>582</v>
      </c>
    </row>
    <row r="4" spans="1:7" x14ac:dyDescent="0.25">
      <c r="A4" s="6" t="s">
        <v>42</v>
      </c>
      <c r="B4" s="6">
        <f>1/2</f>
        <v>0.5</v>
      </c>
      <c r="C4" s="6" t="s">
        <v>583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57486E-2529-4AC3-892E-7CE42249F879}">
  <dimension ref="A1:F3"/>
  <sheetViews>
    <sheetView workbookViewId="0">
      <selection activeCell="E2" sqref="E2:F2"/>
    </sheetView>
  </sheetViews>
  <sheetFormatPr defaultRowHeight="15" x14ac:dyDescent="0.25"/>
  <cols>
    <col min="1" max="1" width="31.140625" bestFit="1" customWidth="1"/>
    <col min="2" max="2" width="17.7109375" bestFit="1" customWidth="1"/>
    <col min="3" max="3" width="173.85546875" bestFit="1" customWidth="1"/>
  </cols>
  <sheetData>
    <row r="1" spans="1:6" x14ac:dyDescent="0.25">
      <c r="A1" s="6" t="s">
        <v>104</v>
      </c>
      <c r="B1" s="6" t="s">
        <v>105</v>
      </c>
      <c r="C1" s="6" t="s">
        <v>70</v>
      </c>
    </row>
    <row r="2" spans="1:6" x14ac:dyDescent="0.25">
      <c r="A2" s="28" t="s">
        <v>41</v>
      </c>
      <c r="B2" s="28">
        <f>1/2</f>
        <v>0.5</v>
      </c>
      <c r="C2" s="28" t="s">
        <v>584</v>
      </c>
      <c r="E2" s="28">
        <f>1/2</f>
        <v>0.5</v>
      </c>
      <c r="F2" s="28">
        <f>1/3</f>
        <v>0.33333333333333331</v>
      </c>
    </row>
    <row r="3" spans="1:6" x14ac:dyDescent="0.25">
      <c r="A3" s="28" t="s">
        <v>42</v>
      </c>
      <c r="B3" s="28">
        <f>1/3</f>
        <v>0.33333333333333331</v>
      </c>
      <c r="C3" s="28" t="s">
        <v>585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62670E-6576-4184-954C-60779DCFC55B}">
  <dimension ref="A1:E2"/>
  <sheetViews>
    <sheetView workbookViewId="0">
      <selection activeCell="E3" sqref="E3"/>
    </sheetView>
  </sheetViews>
  <sheetFormatPr defaultRowHeight="15" x14ac:dyDescent="0.25"/>
  <cols>
    <col min="1" max="1" width="31.140625" bestFit="1" customWidth="1"/>
    <col min="2" max="2" width="17.7109375" bestFit="1" customWidth="1"/>
    <col min="3" max="3" width="153.140625" bestFit="1" customWidth="1"/>
  </cols>
  <sheetData>
    <row r="1" spans="1:5" x14ac:dyDescent="0.25">
      <c r="A1" s="18" t="s">
        <v>104</v>
      </c>
      <c r="B1" s="18" t="s">
        <v>105</v>
      </c>
      <c r="C1" s="18" t="s">
        <v>70</v>
      </c>
    </row>
    <row r="2" spans="1:5" x14ac:dyDescent="0.25">
      <c r="A2" s="6" t="s">
        <v>42</v>
      </c>
      <c r="B2" s="6">
        <f>1/2</f>
        <v>0.5</v>
      </c>
      <c r="C2" s="6" t="s">
        <v>586</v>
      </c>
      <c r="E2">
        <f>0.5</f>
        <v>0.5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02582C-DA0D-4495-8918-78BCF757B870}">
  <dimension ref="A1:H5"/>
  <sheetViews>
    <sheetView workbookViewId="0">
      <selection activeCell="E2" sqref="E2:H2"/>
    </sheetView>
  </sheetViews>
  <sheetFormatPr defaultRowHeight="15" x14ac:dyDescent="0.25"/>
  <cols>
    <col min="1" max="1" width="31.140625" bestFit="1" customWidth="1"/>
    <col min="2" max="2" width="17.7109375" bestFit="1" customWidth="1"/>
    <col min="3" max="3" width="108.5703125" bestFit="1" customWidth="1"/>
  </cols>
  <sheetData>
    <row r="1" spans="1:8" x14ac:dyDescent="0.25">
      <c r="A1" s="18" t="s">
        <v>104</v>
      </c>
      <c r="B1" s="18" t="s">
        <v>105</v>
      </c>
      <c r="C1" s="18" t="s">
        <v>70</v>
      </c>
    </row>
    <row r="2" spans="1:8" x14ac:dyDescent="0.25">
      <c r="A2" s="6" t="s">
        <v>39</v>
      </c>
      <c r="B2" s="6">
        <f>1</f>
        <v>1</v>
      </c>
      <c r="C2" s="6" t="s">
        <v>577</v>
      </c>
      <c r="E2" s="6">
        <f>1</f>
        <v>1</v>
      </c>
      <c r="F2" s="6">
        <f>3</f>
        <v>3</v>
      </c>
      <c r="G2" s="6">
        <f>2</f>
        <v>2</v>
      </c>
      <c r="H2" s="6">
        <f>2</f>
        <v>2</v>
      </c>
    </row>
    <row r="3" spans="1:8" x14ac:dyDescent="0.25">
      <c r="A3" s="6" t="s">
        <v>40</v>
      </c>
      <c r="B3" s="6">
        <f>3</f>
        <v>3</v>
      </c>
      <c r="C3" s="6" t="s">
        <v>578</v>
      </c>
    </row>
    <row r="4" spans="1:8" x14ac:dyDescent="0.25">
      <c r="A4" s="6" t="s">
        <v>41</v>
      </c>
      <c r="B4" s="6">
        <f>2</f>
        <v>2</v>
      </c>
      <c r="C4" s="6" t="s">
        <v>579</v>
      </c>
    </row>
    <row r="5" spans="1:8" x14ac:dyDescent="0.25">
      <c r="A5" s="6" t="s">
        <v>42</v>
      </c>
      <c r="B5" s="6">
        <f>2</f>
        <v>2</v>
      </c>
      <c r="C5" s="6" t="s">
        <v>580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8C18A1-60BF-4DD7-AAC2-CAE0D180E164}">
  <dimension ref="A1:N11"/>
  <sheetViews>
    <sheetView workbookViewId="0">
      <selection activeCell="E2" sqref="E2:N2"/>
    </sheetView>
  </sheetViews>
  <sheetFormatPr defaultRowHeight="15" x14ac:dyDescent="0.25"/>
  <cols>
    <col min="1" max="1" width="45.28515625" bestFit="1" customWidth="1"/>
    <col min="2" max="2" width="17.7109375" bestFit="1" customWidth="1"/>
    <col min="3" max="3" width="114.140625" bestFit="1" customWidth="1"/>
  </cols>
  <sheetData>
    <row r="1" spans="1:14" x14ac:dyDescent="0.25">
      <c r="A1" s="18" t="s">
        <v>104</v>
      </c>
      <c r="B1" s="18" t="s">
        <v>105</v>
      </c>
      <c r="C1" s="18" t="s">
        <v>70</v>
      </c>
    </row>
    <row r="2" spans="1:14" x14ac:dyDescent="0.25">
      <c r="A2" s="6" t="s">
        <v>33</v>
      </c>
      <c r="B2" s="6">
        <v>2</v>
      </c>
      <c r="C2" s="6" t="s">
        <v>532</v>
      </c>
      <c r="E2" s="6">
        <v>2</v>
      </c>
      <c r="F2" s="6">
        <v>3</v>
      </c>
      <c r="G2" s="6">
        <v>4</v>
      </c>
      <c r="H2" s="6">
        <v>2</v>
      </c>
      <c r="I2" s="6">
        <v>2</v>
      </c>
      <c r="J2" s="6">
        <v>1</v>
      </c>
      <c r="K2" s="6">
        <v>0.33333333333333331</v>
      </c>
      <c r="L2" s="6">
        <v>0.25</v>
      </c>
      <c r="M2" s="6">
        <v>0.33333333333333331</v>
      </c>
      <c r="N2" s="6">
        <v>0.33333333333333331</v>
      </c>
    </row>
    <row r="3" spans="1:14" x14ac:dyDescent="0.25">
      <c r="A3" s="6" t="s">
        <v>34</v>
      </c>
      <c r="B3" s="6">
        <v>3</v>
      </c>
      <c r="C3" s="6" t="s">
        <v>533</v>
      </c>
    </row>
    <row r="4" spans="1:14" x14ac:dyDescent="0.25">
      <c r="A4" s="6" t="s">
        <v>35</v>
      </c>
      <c r="B4" s="6">
        <v>4</v>
      </c>
      <c r="C4" s="6" t="s">
        <v>534</v>
      </c>
    </row>
    <row r="5" spans="1:14" x14ac:dyDescent="0.25">
      <c r="A5" s="6" t="s">
        <v>36</v>
      </c>
      <c r="B5" s="6">
        <v>2</v>
      </c>
      <c r="C5" s="6" t="s">
        <v>535</v>
      </c>
    </row>
    <row r="6" spans="1:14" x14ac:dyDescent="0.25">
      <c r="A6" s="6" t="s">
        <v>37</v>
      </c>
      <c r="B6" s="6">
        <v>2</v>
      </c>
      <c r="C6" s="6" t="s">
        <v>536</v>
      </c>
    </row>
    <row r="7" spans="1:14" x14ac:dyDescent="0.25">
      <c r="A7" s="6" t="s">
        <v>38</v>
      </c>
      <c r="B7" s="6">
        <v>1</v>
      </c>
      <c r="C7" s="6" t="s">
        <v>537</v>
      </c>
    </row>
    <row r="8" spans="1:14" x14ac:dyDescent="0.25">
      <c r="A8" s="6" t="s">
        <v>39</v>
      </c>
      <c r="B8" s="6">
        <v>0.33333333333333331</v>
      </c>
      <c r="C8" s="6" t="s">
        <v>538</v>
      </c>
    </row>
    <row r="9" spans="1:14" x14ac:dyDescent="0.25">
      <c r="A9" s="6" t="s">
        <v>40</v>
      </c>
      <c r="B9" s="6">
        <v>0.25</v>
      </c>
      <c r="C9" s="6" t="s">
        <v>539</v>
      </c>
    </row>
    <row r="10" spans="1:14" x14ac:dyDescent="0.25">
      <c r="A10" s="6" t="s">
        <v>41</v>
      </c>
      <c r="B10" s="6">
        <v>0.33333333333333331</v>
      </c>
      <c r="C10" s="6" t="s">
        <v>540</v>
      </c>
    </row>
    <row r="11" spans="1:14" x14ac:dyDescent="0.25">
      <c r="A11" s="6" t="s">
        <v>42</v>
      </c>
      <c r="B11" s="6">
        <v>0.33333333333333331</v>
      </c>
      <c r="C11" s="6" t="s">
        <v>541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18DD2C-E6D8-4F2F-BEB3-55A9A2C2860D}">
  <dimension ref="A1:M10"/>
  <sheetViews>
    <sheetView topLeftCell="B1" workbookViewId="0">
      <selection activeCell="E2" sqref="E2:M2"/>
    </sheetView>
  </sheetViews>
  <sheetFormatPr defaultRowHeight="15" x14ac:dyDescent="0.25"/>
  <cols>
    <col min="1" max="1" width="45.28515625" bestFit="1" customWidth="1"/>
    <col min="2" max="2" width="17.7109375" bestFit="1" customWidth="1"/>
    <col min="3" max="3" width="92.85546875" bestFit="1" customWidth="1"/>
  </cols>
  <sheetData>
    <row r="1" spans="1:13" x14ac:dyDescent="0.25">
      <c r="A1" s="28" t="s">
        <v>104</v>
      </c>
      <c r="B1" s="28" t="s">
        <v>105</v>
      </c>
      <c r="C1" s="28" t="s">
        <v>70</v>
      </c>
    </row>
    <row r="2" spans="1:13" x14ac:dyDescent="0.25">
      <c r="A2" s="28" t="s">
        <v>34</v>
      </c>
      <c r="B2" s="28">
        <f>1/2</f>
        <v>0.5</v>
      </c>
      <c r="C2" s="28" t="s">
        <v>542</v>
      </c>
      <c r="E2" s="27">
        <f>1/2</f>
        <v>0.5</v>
      </c>
      <c r="F2" s="27">
        <f>1/3</f>
        <v>0.33333333333333331</v>
      </c>
      <c r="G2" s="27">
        <f>2</f>
        <v>2</v>
      </c>
      <c r="H2" s="27">
        <f>3</f>
        <v>3</v>
      </c>
      <c r="I2" s="27">
        <f>2</f>
        <v>2</v>
      </c>
      <c r="J2" s="27">
        <f>5</f>
        <v>5</v>
      </c>
      <c r="K2" s="27">
        <f>7</f>
        <v>7</v>
      </c>
      <c r="L2" s="27">
        <f>4</f>
        <v>4</v>
      </c>
      <c r="M2" s="27">
        <f>3</f>
        <v>3</v>
      </c>
    </row>
    <row r="3" spans="1:13" x14ac:dyDescent="0.25">
      <c r="A3" s="28" t="s">
        <v>35</v>
      </c>
      <c r="B3" s="28">
        <f>1/3</f>
        <v>0.33333333333333331</v>
      </c>
      <c r="C3" s="28" t="s">
        <v>543</v>
      </c>
    </row>
    <row r="4" spans="1:13" x14ac:dyDescent="0.25">
      <c r="A4" s="28" t="s">
        <v>36</v>
      </c>
      <c r="B4" s="28">
        <f>2</f>
        <v>2</v>
      </c>
      <c r="C4" s="28" t="s">
        <v>544</v>
      </c>
    </row>
    <row r="5" spans="1:13" x14ac:dyDescent="0.25">
      <c r="A5" s="28" t="s">
        <v>37</v>
      </c>
      <c r="B5" s="28">
        <f>3</f>
        <v>3</v>
      </c>
      <c r="C5" s="28" t="s">
        <v>545</v>
      </c>
    </row>
    <row r="6" spans="1:13" x14ac:dyDescent="0.25">
      <c r="A6" s="28" t="s">
        <v>38</v>
      </c>
      <c r="B6" s="28">
        <f>2</f>
        <v>2</v>
      </c>
      <c r="C6" s="28" t="s">
        <v>546</v>
      </c>
    </row>
    <row r="7" spans="1:13" x14ac:dyDescent="0.25">
      <c r="A7" s="28" t="s">
        <v>39</v>
      </c>
      <c r="B7" s="28">
        <f>5</f>
        <v>5</v>
      </c>
      <c r="C7" s="28" t="s">
        <v>547</v>
      </c>
    </row>
    <row r="8" spans="1:13" x14ac:dyDescent="0.25">
      <c r="A8" s="28" t="s">
        <v>40</v>
      </c>
      <c r="B8" s="28">
        <f>7</f>
        <v>7</v>
      </c>
      <c r="C8" s="28" t="s">
        <v>548</v>
      </c>
    </row>
    <row r="9" spans="1:13" x14ac:dyDescent="0.25">
      <c r="A9" s="28" t="s">
        <v>41</v>
      </c>
      <c r="B9" s="28">
        <f>4</f>
        <v>4</v>
      </c>
      <c r="C9" s="28" t="s">
        <v>549</v>
      </c>
    </row>
    <row r="10" spans="1:13" x14ac:dyDescent="0.25">
      <c r="A10" s="28" t="s">
        <v>42</v>
      </c>
      <c r="B10" s="28">
        <f>3</f>
        <v>3</v>
      </c>
      <c r="C10" s="28" t="s">
        <v>550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ED71E6-F30F-4529-BC1E-9C3820D6D3CD}">
  <dimension ref="A1:L9"/>
  <sheetViews>
    <sheetView workbookViewId="0">
      <selection activeCell="E2" sqref="E2:L2"/>
    </sheetView>
  </sheetViews>
  <sheetFormatPr defaultRowHeight="15" x14ac:dyDescent="0.25"/>
  <cols>
    <col min="1" max="1" width="45.28515625" bestFit="1" customWidth="1"/>
    <col min="2" max="2" width="17.7109375" bestFit="1" customWidth="1"/>
    <col min="3" max="3" width="130.5703125" bestFit="1" customWidth="1"/>
  </cols>
  <sheetData>
    <row r="1" spans="1:12" x14ac:dyDescent="0.25">
      <c r="A1" s="18" t="s">
        <v>104</v>
      </c>
      <c r="B1" s="18" t="s">
        <v>105</v>
      </c>
      <c r="C1" s="18" t="s">
        <v>70</v>
      </c>
    </row>
    <row r="2" spans="1:12" x14ac:dyDescent="0.25">
      <c r="A2" s="6" t="s">
        <v>35</v>
      </c>
      <c r="B2" s="6">
        <f>1/2</f>
        <v>0.5</v>
      </c>
      <c r="C2" s="6" t="s">
        <v>551</v>
      </c>
      <c r="E2" s="6">
        <f>1/2</f>
        <v>0.5</v>
      </c>
      <c r="F2" s="6">
        <f>2</f>
        <v>2</v>
      </c>
      <c r="G2" s="6">
        <f>2</f>
        <v>2</v>
      </c>
      <c r="H2" s="6">
        <f>2</f>
        <v>2</v>
      </c>
      <c r="I2" s="6">
        <f>3</f>
        <v>3</v>
      </c>
      <c r="J2" s="6">
        <f>3</f>
        <v>3</v>
      </c>
      <c r="K2" s="6">
        <f>2</f>
        <v>2</v>
      </c>
      <c r="L2" s="6">
        <f>2</f>
        <v>2</v>
      </c>
    </row>
    <row r="3" spans="1:12" x14ac:dyDescent="0.25">
      <c r="A3" s="6" t="s">
        <v>36</v>
      </c>
      <c r="B3" s="6">
        <f>2</f>
        <v>2</v>
      </c>
      <c r="C3" s="6" t="s">
        <v>552</v>
      </c>
    </row>
    <row r="4" spans="1:12" x14ac:dyDescent="0.25">
      <c r="A4" s="6" t="s">
        <v>37</v>
      </c>
      <c r="B4" s="6">
        <f>2</f>
        <v>2</v>
      </c>
      <c r="C4" s="6" t="s">
        <v>553</v>
      </c>
    </row>
    <row r="5" spans="1:12" x14ac:dyDescent="0.25">
      <c r="A5" s="6" t="s">
        <v>38</v>
      </c>
      <c r="B5" s="6">
        <f>2</f>
        <v>2</v>
      </c>
      <c r="C5" s="6" t="s">
        <v>554</v>
      </c>
    </row>
    <row r="6" spans="1:12" x14ac:dyDescent="0.25">
      <c r="A6" s="6" t="s">
        <v>39</v>
      </c>
      <c r="B6" s="6">
        <f>3</f>
        <v>3</v>
      </c>
      <c r="C6" s="6" t="s">
        <v>555</v>
      </c>
    </row>
    <row r="7" spans="1:12" x14ac:dyDescent="0.25">
      <c r="A7" s="6" t="s">
        <v>40</v>
      </c>
      <c r="B7" s="6">
        <f>3</f>
        <v>3</v>
      </c>
      <c r="C7" s="6" t="s">
        <v>556</v>
      </c>
    </row>
    <row r="8" spans="1:12" x14ac:dyDescent="0.25">
      <c r="A8" s="6" t="s">
        <v>41</v>
      </c>
      <c r="B8" s="6">
        <f>2</f>
        <v>2</v>
      </c>
      <c r="C8" s="6" t="s">
        <v>557</v>
      </c>
    </row>
    <row r="9" spans="1:12" x14ac:dyDescent="0.25">
      <c r="A9" s="6" t="s">
        <v>42</v>
      </c>
      <c r="B9" s="6">
        <f>2</f>
        <v>2</v>
      </c>
      <c r="C9" s="6" t="s">
        <v>558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BED423-025B-4AE8-AE06-D76455C9B7F4}">
  <dimension ref="A1:K8"/>
  <sheetViews>
    <sheetView workbookViewId="0">
      <selection activeCell="E2" sqref="E2:K2"/>
    </sheetView>
  </sheetViews>
  <sheetFormatPr defaultRowHeight="15" x14ac:dyDescent="0.25"/>
  <cols>
    <col min="1" max="1" width="34.5703125" bestFit="1" customWidth="1"/>
    <col min="2" max="2" width="17.7109375" bestFit="1" customWidth="1"/>
    <col min="3" max="3" width="84.140625" bestFit="1" customWidth="1"/>
  </cols>
  <sheetData>
    <row r="1" spans="1:11" x14ac:dyDescent="0.25">
      <c r="A1" s="6" t="s">
        <v>104</v>
      </c>
      <c r="B1" s="6" t="s">
        <v>105</v>
      </c>
      <c r="C1" s="6" t="s">
        <v>70</v>
      </c>
    </row>
    <row r="2" spans="1:11" x14ac:dyDescent="0.25">
      <c r="A2" s="6" t="s">
        <v>36</v>
      </c>
      <c r="B2" s="6">
        <f>1/3</f>
        <v>0.33333333333333331</v>
      </c>
      <c r="C2" s="6" t="s">
        <v>559</v>
      </c>
      <c r="E2" s="6">
        <f>1/3</f>
        <v>0.33333333333333331</v>
      </c>
      <c r="F2" s="6">
        <f>1/3</f>
        <v>0.33333333333333331</v>
      </c>
      <c r="G2" s="6">
        <f>1/2</f>
        <v>0.5</v>
      </c>
      <c r="H2" s="6">
        <f>1</f>
        <v>1</v>
      </c>
      <c r="I2" s="6">
        <f>2</f>
        <v>2</v>
      </c>
      <c r="J2" s="6">
        <f>2</f>
        <v>2</v>
      </c>
      <c r="K2" s="6">
        <f>3</f>
        <v>3</v>
      </c>
    </row>
    <row r="3" spans="1:11" x14ac:dyDescent="0.25">
      <c r="A3" s="6" t="s">
        <v>37</v>
      </c>
      <c r="B3" s="6">
        <f>1/3</f>
        <v>0.33333333333333331</v>
      </c>
      <c r="C3" s="6" t="s">
        <v>560</v>
      </c>
    </row>
    <row r="4" spans="1:11" x14ac:dyDescent="0.25">
      <c r="A4" s="6" t="s">
        <v>38</v>
      </c>
      <c r="B4" s="6">
        <f>1/2</f>
        <v>0.5</v>
      </c>
      <c r="C4" s="6" t="s">
        <v>561</v>
      </c>
    </row>
    <row r="5" spans="1:11" x14ac:dyDescent="0.25">
      <c r="A5" s="6" t="s">
        <v>39</v>
      </c>
      <c r="B5" s="6">
        <f>1</f>
        <v>1</v>
      </c>
      <c r="C5" s="6" t="s">
        <v>562</v>
      </c>
    </row>
    <row r="6" spans="1:11" x14ac:dyDescent="0.25">
      <c r="A6" s="6" t="s">
        <v>40</v>
      </c>
      <c r="B6" s="6">
        <f>2</f>
        <v>2</v>
      </c>
      <c r="C6" s="6" t="s">
        <v>563</v>
      </c>
    </row>
    <row r="7" spans="1:11" x14ac:dyDescent="0.25">
      <c r="A7" s="6" t="s">
        <v>41</v>
      </c>
      <c r="B7" s="6">
        <f>2</f>
        <v>2</v>
      </c>
      <c r="C7" s="6" t="s">
        <v>564</v>
      </c>
    </row>
    <row r="8" spans="1:11" x14ac:dyDescent="0.25">
      <c r="A8" s="6" t="s">
        <v>42</v>
      </c>
      <c r="B8" s="6">
        <f>3</f>
        <v>3</v>
      </c>
      <c r="C8" s="6" t="s">
        <v>565</v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8FC35F-F062-4381-BEE0-BAF4503B4A32}">
  <dimension ref="A1:J7"/>
  <sheetViews>
    <sheetView workbookViewId="0">
      <selection activeCell="C36" sqref="C36"/>
    </sheetView>
  </sheetViews>
  <sheetFormatPr defaultRowHeight="15" x14ac:dyDescent="0.25"/>
  <cols>
    <col min="1" max="1" width="31.140625" bestFit="1" customWidth="1"/>
    <col min="2" max="2" width="17.7109375" bestFit="1" customWidth="1"/>
    <col min="3" max="3" width="91.28515625" bestFit="1" customWidth="1"/>
  </cols>
  <sheetData>
    <row r="1" spans="1:10" x14ac:dyDescent="0.25">
      <c r="A1" s="18" t="s">
        <v>104</v>
      </c>
      <c r="B1" s="18" t="s">
        <v>105</v>
      </c>
      <c r="C1" s="18" t="s">
        <v>70</v>
      </c>
    </row>
    <row r="2" spans="1:10" x14ac:dyDescent="0.25">
      <c r="A2" t="s">
        <v>37</v>
      </c>
      <c r="B2">
        <f>2</f>
        <v>2</v>
      </c>
      <c r="C2" t="s">
        <v>566</v>
      </c>
      <c r="E2">
        <f>2</f>
        <v>2</v>
      </c>
      <c r="F2">
        <f>1/2</f>
        <v>0.5</v>
      </c>
      <c r="G2">
        <f>3</f>
        <v>3</v>
      </c>
      <c r="H2">
        <f>4</f>
        <v>4</v>
      </c>
      <c r="I2">
        <f>3</f>
        <v>3</v>
      </c>
      <c r="J2">
        <f>2</f>
        <v>2</v>
      </c>
    </row>
    <row r="3" spans="1:10" x14ac:dyDescent="0.25">
      <c r="A3" t="s">
        <v>38</v>
      </c>
      <c r="B3">
        <f>1/2</f>
        <v>0.5</v>
      </c>
      <c r="C3" t="s">
        <v>567</v>
      </c>
    </row>
    <row r="4" spans="1:10" x14ac:dyDescent="0.25">
      <c r="A4" t="s">
        <v>39</v>
      </c>
      <c r="B4">
        <f>3</f>
        <v>3</v>
      </c>
      <c r="C4" t="s">
        <v>568</v>
      </c>
    </row>
    <row r="5" spans="1:10" x14ac:dyDescent="0.25">
      <c r="A5" t="s">
        <v>40</v>
      </c>
      <c r="B5">
        <f>4</f>
        <v>4</v>
      </c>
      <c r="C5" t="s">
        <v>569</v>
      </c>
    </row>
    <row r="6" spans="1:10" x14ac:dyDescent="0.25">
      <c r="A6" t="s">
        <v>41</v>
      </c>
      <c r="B6">
        <f>3</f>
        <v>3</v>
      </c>
      <c r="C6" t="s">
        <v>570</v>
      </c>
    </row>
    <row r="7" spans="1:10" x14ac:dyDescent="0.25">
      <c r="A7" t="s">
        <v>42</v>
      </c>
      <c r="B7">
        <f>2</f>
        <v>2</v>
      </c>
      <c r="C7" t="s">
        <v>571</v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B41A9E-1AF5-41E9-8AC5-C214E9F01756}">
  <dimension ref="A1:P13"/>
  <sheetViews>
    <sheetView workbookViewId="0">
      <selection activeCell="E2" sqref="E2:P2"/>
    </sheetView>
  </sheetViews>
  <sheetFormatPr defaultRowHeight="15" x14ac:dyDescent="0.25"/>
  <cols>
    <col min="1" max="1" width="45.28515625" bestFit="1" customWidth="1"/>
    <col min="2" max="2" width="17.7109375" bestFit="1" customWidth="1"/>
    <col min="3" max="3" width="86.7109375" bestFit="1" customWidth="1"/>
  </cols>
  <sheetData>
    <row r="1" spans="1:16" x14ac:dyDescent="0.25">
      <c r="A1" s="18" t="s">
        <v>104</v>
      </c>
      <c r="B1" s="18" t="s">
        <v>105</v>
      </c>
      <c r="C1" s="18" t="s">
        <v>70</v>
      </c>
    </row>
    <row r="2" spans="1:16" x14ac:dyDescent="0.25">
      <c r="A2" s="6" t="s">
        <v>31</v>
      </c>
      <c r="B2" s="6">
        <f>1/3</f>
        <v>0.33333333333333331</v>
      </c>
      <c r="C2" s="6" t="s">
        <v>509</v>
      </c>
      <c r="E2" s="6">
        <f>1/3</f>
        <v>0.33333333333333331</v>
      </c>
      <c r="F2" s="6">
        <f>1</f>
        <v>1</v>
      </c>
      <c r="G2" s="6">
        <f>2</f>
        <v>2</v>
      </c>
      <c r="H2" s="6">
        <f>2</f>
        <v>2</v>
      </c>
      <c r="I2" s="6">
        <f>2</f>
        <v>2</v>
      </c>
      <c r="J2" s="6">
        <f>1/2</f>
        <v>0.5</v>
      </c>
      <c r="K2" s="6">
        <f>1/2</f>
        <v>0.5</v>
      </c>
      <c r="L2" s="6">
        <f>1/2</f>
        <v>0.5</v>
      </c>
      <c r="M2" s="6">
        <f>3</f>
        <v>3</v>
      </c>
      <c r="N2" s="6">
        <f>3</f>
        <v>3</v>
      </c>
      <c r="O2" s="6">
        <f>3</f>
        <v>3</v>
      </c>
      <c r="P2" s="6">
        <f>2</f>
        <v>2</v>
      </c>
    </row>
    <row r="3" spans="1:16" x14ac:dyDescent="0.25">
      <c r="A3" s="6" t="s">
        <v>32</v>
      </c>
      <c r="B3" s="6">
        <f>1</f>
        <v>1</v>
      </c>
      <c r="C3" s="6" t="s">
        <v>510</v>
      </c>
    </row>
    <row r="4" spans="1:16" x14ac:dyDescent="0.25">
      <c r="A4" s="6" t="s">
        <v>33</v>
      </c>
      <c r="B4" s="6">
        <f>2</f>
        <v>2</v>
      </c>
      <c r="C4" s="6" t="s">
        <v>511</v>
      </c>
    </row>
    <row r="5" spans="1:16" x14ac:dyDescent="0.25">
      <c r="A5" s="6" t="s">
        <v>34</v>
      </c>
      <c r="B5" s="6">
        <f>2</f>
        <v>2</v>
      </c>
      <c r="C5" s="6" t="s">
        <v>512</v>
      </c>
    </row>
    <row r="6" spans="1:16" x14ac:dyDescent="0.25">
      <c r="A6" s="6" t="s">
        <v>35</v>
      </c>
      <c r="B6" s="6">
        <f>2</f>
        <v>2</v>
      </c>
      <c r="C6" s="6" t="s">
        <v>513</v>
      </c>
    </row>
    <row r="7" spans="1:16" x14ac:dyDescent="0.25">
      <c r="A7" s="6" t="s">
        <v>36</v>
      </c>
      <c r="B7" s="6">
        <f>1/2</f>
        <v>0.5</v>
      </c>
      <c r="C7" s="6" t="s">
        <v>514</v>
      </c>
    </row>
    <row r="8" spans="1:16" x14ac:dyDescent="0.25">
      <c r="A8" s="6" t="s">
        <v>37</v>
      </c>
      <c r="B8" s="6">
        <f>1/2</f>
        <v>0.5</v>
      </c>
      <c r="C8" s="6" t="s">
        <v>515</v>
      </c>
    </row>
    <row r="9" spans="1:16" x14ac:dyDescent="0.25">
      <c r="A9" s="6" t="s">
        <v>38</v>
      </c>
      <c r="B9" s="6">
        <f>1/2</f>
        <v>0.5</v>
      </c>
      <c r="C9" s="6" t="s">
        <v>516</v>
      </c>
    </row>
    <row r="10" spans="1:16" x14ac:dyDescent="0.25">
      <c r="A10" s="6" t="s">
        <v>39</v>
      </c>
      <c r="B10" s="6">
        <f>3</f>
        <v>3</v>
      </c>
      <c r="C10" s="6" t="s">
        <v>517</v>
      </c>
    </row>
    <row r="11" spans="1:16" x14ac:dyDescent="0.25">
      <c r="A11" s="6" t="s">
        <v>40</v>
      </c>
      <c r="B11" s="6">
        <f>3</f>
        <v>3</v>
      </c>
      <c r="C11" s="6" t="s">
        <v>518</v>
      </c>
    </row>
    <row r="12" spans="1:16" x14ac:dyDescent="0.25">
      <c r="A12" s="6" t="s">
        <v>41</v>
      </c>
      <c r="B12" s="6">
        <f>3</f>
        <v>3</v>
      </c>
      <c r="C12" s="6" t="s">
        <v>519</v>
      </c>
    </row>
    <row r="13" spans="1:16" x14ac:dyDescent="0.25">
      <c r="A13" s="6" t="s">
        <v>42</v>
      </c>
      <c r="B13" s="6">
        <f>2</f>
        <v>2</v>
      </c>
      <c r="C13" s="6" t="s">
        <v>520</v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4C4708-61E5-4B74-97C3-CDA80050F376}">
  <dimension ref="A1:O12"/>
  <sheetViews>
    <sheetView workbookViewId="0">
      <selection activeCell="E2" sqref="E2:O2"/>
    </sheetView>
  </sheetViews>
  <sheetFormatPr defaultRowHeight="15" x14ac:dyDescent="0.25"/>
  <cols>
    <col min="1" max="1" width="45.28515625" bestFit="1" customWidth="1"/>
    <col min="2" max="2" width="17.7109375" bestFit="1" customWidth="1"/>
    <col min="3" max="3" width="77.42578125" bestFit="1" customWidth="1"/>
  </cols>
  <sheetData>
    <row r="1" spans="1:15" x14ac:dyDescent="0.25">
      <c r="A1" s="18" t="s">
        <v>104</v>
      </c>
      <c r="B1" s="18" t="s">
        <v>105</v>
      </c>
      <c r="C1" s="18" t="s">
        <v>70</v>
      </c>
    </row>
    <row r="2" spans="1:15" x14ac:dyDescent="0.25">
      <c r="A2" s="6" t="s">
        <v>32</v>
      </c>
      <c r="B2" s="6">
        <f>1/3</f>
        <v>0.33333333333333331</v>
      </c>
      <c r="C2" s="6" t="s">
        <v>521</v>
      </c>
      <c r="E2" s="6">
        <f>1/3</f>
        <v>0.33333333333333331</v>
      </c>
      <c r="F2" s="6">
        <f>1/2</f>
        <v>0.5</v>
      </c>
      <c r="G2" s="6">
        <v>1</v>
      </c>
      <c r="H2" s="6">
        <v>2</v>
      </c>
      <c r="I2" s="6">
        <f>1/2</f>
        <v>0.5</v>
      </c>
      <c r="J2" s="6">
        <f>1/3</f>
        <v>0.33333333333333331</v>
      </c>
      <c r="K2" s="6">
        <f>1/5</f>
        <v>0.2</v>
      </c>
      <c r="L2" s="6">
        <f>1/3</f>
        <v>0.33333333333333331</v>
      </c>
      <c r="M2" s="6">
        <f>1/2</f>
        <v>0.5</v>
      </c>
      <c r="N2" s="6">
        <f>1/2</f>
        <v>0.5</v>
      </c>
      <c r="O2" s="6">
        <v>1</v>
      </c>
    </row>
    <row r="3" spans="1:15" x14ac:dyDescent="0.25">
      <c r="A3" s="6" t="s">
        <v>33</v>
      </c>
      <c r="B3" s="6">
        <f>1/2</f>
        <v>0.5</v>
      </c>
      <c r="C3" s="6" t="s">
        <v>522</v>
      </c>
    </row>
    <row r="4" spans="1:15" x14ac:dyDescent="0.25">
      <c r="A4" s="6" t="s">
        <v>34</v>
      </c>
      <c r="B4" s="6">
        <v>1</v>
      </c>
      <c r="C4" s="6" t="s">
        <v>523</v>
      </c>
    </row>
    <row r="5" spans="1:15" x14ac:dyDescent="0.25">
      <c r="A5" s="6" t="s">
        <v>35</v>
      </c>
      <c r="B5" s="6">
        <v>2</v>
      </c>
      <c r="C5" s="6" t="s">
        <v>524</v>
      </c>
    </row>
    <row r="6" spans="1:15" x14ac:dyDescent="0.25">
      <c r="A6" s="6" t="s">
        <v>36</v>
      </c>
      <c r="B6" s="6">
        <f>1/2</f>
        <v>0.5</v>
      </c>
      <c r="C6" s="6" t="s">
        <v>525</v>
      </c>
    </row>
    <row r="7" spans="1:15" x14ac:dyDescent="0.25">
      <c r="A7" s="6" t="s">
        <v>37</v>
      </c>
      <c r="B7" s="6">
        <f>1/3</f>
        <v>0.33333333333333331</v>
      </c>
      <c r="C7" s="6" t="s">
        <v>526</v>
      </c>
    </row>
    <row r="8" spans="1:15" x14ac:dyDescent="0.25">
      <c r="A8" s="6" t="s">
        <v>38</v>
      </c>
      <c r="B8" s="6">
        <f>1/5</f>
        <v>0.2</v>
      </c>
      <c r="C8" s="6" t="s">
        <v>527</v>
      </c>
    </row>
    <row r="9" spans="1:15" x14ac:dyDescent="0.25">
      <c r="A9" s="6" t="s">
        <v>39</v>
      </c>
      <c r="B9" s="6">
        <f>1/3</f>
        <v>0.33333333333333331</v>
      </c>
      <c r="C9" s="6" t="s">
        <v>528</v>
      </c>
    </row>
    <row r="10" spans="1:15" x14ac:dyDescent="0.25">
      <c r="A10" s="6" t="s">
        <v>40</v>
      </c>
      <c r="B10" s="6">
        <f>1/2</f>
        <v>0.5</v>
      </c>
      <c r="C10" s="6" t="s">
        <v>529</v>
      </c>
    </row>
    <row r="11" spans="1:15" x14ac:dyDescent="0.25">
      <c r="A11" s="6" t="s">
        <v>41</v>
      </c>
      <c r="B11" s="6">
        <f>1/2</f>
        <v>0.5</v>
      </c>
      <c r="C11" s="6" t="s">
        <v>530</v>
      </c>
    </row>
    <row r="12" spans="1:15" x14ac:dyDescent="0.25">
      <c r="A12" s="6" t="s">
        <v>42</v>
      </c>
      <c r="B12" s="6">
        <v>1</v>
      </c>
      <c r="C12" s="6" t="s">
        <v>531</v>
      </c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0C3FEC-B0C0-45AA-AF1A-47FC7C0BD79A}">
  <dimension ref="A1:S16"/>
  <sheetViews>
    <sheetView workbookViewId="0">
      <selection activeCell="E2" sqref="E2:S2"/>
    </sheetView>
  </sheetViews>
  <sheetFormatPr defaultRowHeight="15" x14ac:dyDescent="0.25"/>
  <cols>
    <col min="1" max="1" width="45.28515625" bestFit="1" customWidth="1"/>
    <col min="2" max="2" width="12" bestFit="1" customWidth="1"/>
    <col min="3" max="3" width="67.85546875" bestFit="1" customWidth="1"/>
  </cols>
  <sheetData>
    <row r="1" spans="1:19" x14ac:dyDescent="0.25">
      <c r="A1" s="18" t="s">
        <v>465</v>
      </c>
      <c r="B1" s="18" t="s">
        <v>137</v>
      </c>
      <c r="C1" s="18" t="s">
        <v>70</v>
      </c>
    </row>
    <row r="2" spans="1:19" x14ac:dyDescent="0.25">
      <c r="A2" s="6" t="s">
        <v>28</v>
      </c>
      <c r="B2" s="6">
        <v>2</v>
      </c>
      <c r="C2" s="6" t="s">
        <v>466</v>
      </c>
      <c r="E2" s="6">
        <v>2</v>
      </c>
      <c r="F2" s="6">
        <v>2</v>
      </c>
      <c r="G2" s="6">
        <f>1/2</f>
        <v>0.5</v>
      </c>
      <c r="H2" s="6">
        <f>1/3</f>
        <v>0.33333333333333331</v>
      </c>
      <c r="I2" s="6">
        <f>1/3</f>
        <v>0.33333333333333331</v>
      </c>
      <c r="J2" s="6">
        <v>1</v>
      </c>
      <c r="K2" s="6">
        <v>1</v>
      </c>
      <c r="L2" s="6">
        <v>1</v>
      </c>
      <c r="M2" s="6">
        <f>1/2</f>
        <v>0.5</v>
      </c>
      <c r="N2" s="6">
        <f>1/3</f>
        <v>0.33333333333333331</v>
      </c>
      <c r="O2" s="6">
        <f>1/5</f>
        <v>0.2</v>
      </c>
      <c r="P2" s="6">
        <f>1/5</f>
        <v>0.2</v>
      </c>
      <c r="Q2" s="6">
        <f>1/3</f>
        <v>0.33333333333333331</v>
      </c>
      <c r="R2" s="6">
        <f>1/3</f>
        <v>0.33333333333333331</v>
      </c>
      <c r="S2" s="6">
        <f>1/3</f>
        <v>0.33333333333333331</v>
      </c>
    </row>
    <row r="3" spans="1:19" x14ac:dyDescent="0.25">
      <c r="A3" s="6" t="s">
        <v>29</v>
      </c>
      <c r="B3" s="6">
        <v>2</v>
      </c>
      <c r="C3" s="6" t="s">
        <v>467</v>
      </c>
    </row>
    <row r="4" spans="1:19" x14ac:dyDescent="0.25">
      <c r="A4" s="6" t="s">
        <v>30</v>
      </c>
      <c r="B4" s="6">
        <f>1/2</f>
        <v>0.5</v>
      </c>
      <c r="C4" s="6" t="s">
        <v>468</v>
      </c>
    </row>
    <row r="5" spans="1:19" x14ac:dyDescent="0.25">
      <c r="A5" s="6" t="s">
        <v>31</v>
      </c>
      <c r="B5" s="6">
        <f>1/3</f>
        <v>0.33333333333333331</v>
      </c>
      <c r="C5" s="6" t="s">
        <v>469</v>
      </c>
    </row>
    <row r="6" spans="1:19" x14ac:dyDescent="0.25">
      <c r="A6" s="6" t="s">
        <v>32</v>
      </c>
      <c r="B6" s="6">
        <f>1/3</f>
        <v>0.33333333333333331</v>
      </c>
      <c r="C6" s="6" t="s">
        <v>470</v>
      </c>
    </row>
    <row r="7" spans="1:19" x14ac:dyDescent="0.25">
      <c r="A7" s="6" t="s">
        <v>33</v>
      </c>
      <c r="B7" s="6">
        <v>1</v>
      </c>
      <c r="C7" s="6" t="s">
        <v>471</v>
      </c>
    </row>
    <row r="8" spans="1:19" x14ac:dyDescent="0.25">
      <c r="A8" s="6" t="s">
        <v>34</v>
      </c>
      <c r="B8" s="6">
        <v>1</v>
      </c>
      <c r="C8" s="6" t="s">
        <v>472</v>
      </c>
    </row>
    <row r="9" spans="1:19" x14ac:dyDescent="0.25">
      <c r="A9" s="6" t="s">
        <v>35</v>
      </c>
      <c r="B9" s="6">
        <v>1</v>
      </c>
      <c r="C9" s="6" t="s">
        <v>473</v>
      </c>
    </row>
    <row r="10" spans="1:19" x14ac:dyDescent="0.25">
      <c r="A10" s="6" t="s">
        <v>36</v>
      </c>
      <c r="B10" s="6">
        <f>1/2</f>
        <v>0.5</v>
      </c>
      <c r="C10" s="6" t="s">
        <v>474</v>
      </c>
    </row>
    <row r="11" spans="1:19" x14ac:dyDescent="0.25">
      <c r="A11" s="6" t="s">
        <v>37</v>
      </c>
      <c r="B11" s="6">
        <f>1/3</f>
        <v>0.33333333333333331</v>
      </c>
      <c r="C11" s="6" t="s">
        <v>475</v>
      </c>
    </row>
    <row r="12" spans="1:19" x14ac:dyDescent="0.25">
      <c r="A12" s="6" t="s">
        <v>38</v>
      </c>
      <c r="B12" s="6">
        <f>1/5</f>
        <v>0.2</v>
      </c>
      <c r="C12" s="6" t="s">
        <v>476</v>
      </c>
    </row>
    <row r="13" spans="1:19" x14ac:dyDescent="0.25">
      <c r="A13" s="6" t="s">
        <v>39</v>
      </c>
      <c r="B13" s="6">
        <f>1/5</f>
        <v>0.2</v>
      </c>
      <c r="C13" s="6" t="s">
        <v>477</v>
      </c>
    </row>
    <row r="14" spans="1:19" x14ac:dyDescent="0.25">
      <c r="A14" s="6" t="s">
        <v>40</v>
      </c>
      <c r="B14" s="6">
        <f>1/3</f>
        <v>0.33333333333333331</v>
      </c>
      <c r="C14" s="6" t="s">
        <v>478</v>
      </c>
    </row>
    <row r="15" spans="1:19" x14ac:dyDescent="0.25">
      <c r="A15" s="6" t="s">
        <v>41</v>
      </c>
      <c r="B15" s="6">
        <f>1/3</f>
        <v>0.33333333333333331</v>
      </c>
      <c r="C15" s="6" t="s">
        <v>479</v>
      </c>
    </row>
    <row r="16" spans="1:19" x14ac:dyDescent="0.25">
      <c r="A16" s="6" t="s">
        <v>42</v>
      </c>
      <c r="B16" s="6">
        <f>1/3</f>
        <v>0.33333333333333331</v>
      </c>
      <c r="C16" s="6" t="s">
        <v>480</v>
      </c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6BDF6A-5A78-4ABF-9658-F5A86CF61D4D}">
  <dimension ref="A1:R15"/>
  <sheetViews>
    <sheetView workbookViewId="0">
      <selection activeCell="E2" sqref="E2:R2"/>
    </sheetView>
  </sheetViews>
  <sheetFormatPr defaultRowHeight="15" x14ac:dyDescent="0.25"/>
  <cols>
    <col min="1" max="1" width="45.28515625" bestFit="1" customWidth="1"/>
    <col min="2" max="2" width="12" bestFit="1" customWidth="1"/>
    <col min="3" max="3" width="81.140625" bestFit="1" customWidth="1"/>
  </cols>
  <sheetData>
    <row r="1" spans="1:18" x14ac:dyDescent="0.25">
      <c r="A1" s="18" t="s">
        <v>446</v>
      </c>
      <c r="B1" s="18" t="s">
        <v>481</v>
      </c>
      <c r="C1" s="18" t="s">
        <v>70</v>
      </c>
    </row>
    <row r="2" spans="1:18" x14ac:dyDescent="0.25">
      <c r="A2" t="s">
        <v>29</v>
      </c>
      <c r="B2">
        <f>1/3</f>
        <v>0.33333333333333331</v>
      </c>
      <c r="C2" t="s">
        <v>482</v>
      </c>
      <c r="E2">
        <f>1/3</f>
        <v>0.33333333333333331</v>
      </c>
      <c r="F2">
        <f>1/3</f>
        <v>0.33333333333333331</v>
      </c>
      <c r="G2">
        <f>1/2</f>
        <v>0.5</v>
      </c>
      <c r="H2">
        <f>1/2</f>
        <v>0.5</v>
      </c>
      <c r="I2">
        <f>1/2</f>
        <v>0.5</v>
      </c>
      <c r="J2">
        <f>1/2</f>
        <v>0.5</v>
      </c>
      <c r="K2">
        <f>1/2</f>
        <v>0.5</v>
      </c>
      <c r="L2">
        <f>2</f>
        <v>2</v>
      </c>
      <c r="M2">
        <f>3</f>
        <v>3</v>
      </c>
      <c r="N2">
        <f>3</f>
        <v>3</v>
      </c>
      <c r="O2">
        <f>3</f>
        <v>3</v>
      </c>
      <c r="P2">
        <f>2</f>
        <v>2</v>
      </c>
      <c r="Q2">
        <f>2</f>
        <v>2</v>
      </c>
      <c r="R2">
        <f>2</f>
        <v>2</v>
      </c>
    </row>
    <row r="3" spans="1:18" x14ac:dyDescent="0.25">
      <c r="A3" t="s">
        <v>30</v>
      </c>
      <c r="B3">
        <f>1/3</f>
        <v>0.33333333333333331</v>
      </c>
      <c r="C3" t="s">
        <v>483</v>
      </c>
    </row>
    <row r="4" spans="1:18" x14ac:dyDescent="0.25">
      <c r="A4" t="s">
        <v>31</v>
      </c>
      <c r="B4">
        <f>1/2</f>
        <v>0.5</v>
      </c>
      <c r="C4" t="s">
        <v>484</v>
      </c>
    </row>
    <row r="5" spans="1:18" x14ac:dyDescent="0.25">
      <c r="A5" t="s">
        <v>32</v>
      </c>
      <c r="B5">
        <f>1/2</f>
        <v>0.5</v>
      </c>
      <c r="C5" t="s">
        <v>485</v>
      </c>
    </row>
    <row r="6" spans="1:18" x14ac:dyDescent="0.25">
      <c r="A6" t="s">
        <v>33</v>
      </c>
      <c r="B6">
        <f>1/2</f>
        <v>0.5</v>
      </c>
      <c r="C6" t="s">
        <v>486</v>
      </c>
    </row>
    <row r="7" spans="1:18" x14ac:dyDescent="0.25">
      <c r="A7" t="s">
        <v>34</v>
      </c>
      <c r="B7">
        <f>1/2</f>
        <v>0.5</v>
      </c>
      <c r="C7" t="s">
        <v>487</v>
      </c>
    </row>
    <row r="8" spans="1:18" x14ac:dyDescent="0.25">
      <c r="A8" t="s">
        <v>35</v>
      </c>
      <c r="B8">
        <f>1/2</f>
        <v>0.5</v>
      </c>
      <c r="C8" t="s">
        <v>488</v>
      </c>
    </row>
    <row r="9" spans="1:18" x14ac:dyDescent="0.25">
      <c r="A9" t="s">
        <v>36</v>
      </c>
      <c r="B9">
        <f>2</f>
        <v>2</v>
      </c>
      <c r="C9" t="s">
        <v>489</v>
      </c>
    </row>
    <row r="10" spans="1:18" x14ac:dyDescent="0.25">
      <c r="A10" t="s">
        <v>37</v>
      </c>
      <c r="B10">
        <f>3</f>
        <v>3</v>
      </c>
      <c r="C10" t="s">
        <v>490</v>
      </c>
    </row>
    <row r="11" spans="1:18" x14ac:dyDescent="0.25">
      <c r="A11" t="s">
        <v>38</v>
      </c>
      <c r="B11">
        <f>3</f>
        <v>3</v>
      </c>
      <c r="C11" t="s">
        <v>491</v>
      </c>
    </row>
    <row r="12" spans="1:18" x14ac:dyDescent="0.25">
      <c r="A12" t="s">
        <v>39</v>
      </c>
      <c r="B12">
        <f>3</f>
        <v>3</v>
      </c>
      <c r="C12" t="s">
        <v>492</v>
      </c>
    </row>
    <row r="13" spans="1:18" x14ac:dyDescent="0.25">
      <c r="A13" t="s">
        <v>40</v>
      </c>
      <c r="B13">
        <f>2</f>
        <v>2</v>
      </c>
      <c r="C13" t="s">
        <v>493</v>
      </c>
    </row>
    <row r="14" spans="1:18" x14ac:dyDescent="0.25">
      <c r="A14" t="s">
        <v>41</v>
      </c>
      <c r="B14">
        <f>2</f>
        <v>2</v>
      </c>
      <c r="C14" t="s">
        <v>494</v>
      </c>
    </row>
    <row r="15" spans="1:18" x14ac:dyDescent="0.25">
      <c r="A15" t="s">
        <v>42</v>
      </c>
      <c r="B15">
        <f>2</f>
        <v>2</v>
      </c>
      <c r="C15" t="s">
        <v>495</v>
      </c>
    </row>
  </sheetData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472474-8396-4CCC-8053-ABDA50BBA01B}">
  <dimension ref="A1:Q14"/>
  <sheetViews>
    <sheetView workbookViewId="0">
      <selection activeCell="E2" sqref="E2:Q2"/>
    </sheetView>
  </sheetViews>
  <sheetFormatPr defaultRowHeight="15" x14ac:dyDescent="0.25"/>
  <cols>
    <col min="1" max="1" width="45.28515625" bestFit="1" customWidth="1"/>
    <col min="2" max="2" width="17.7109375" bestFit="1" customWidth="1"/>
    <col min="3" max="3" width="72.140625" bestFit="1" customWidth="1"/>
  </cols>
  <sheetData>
    <row r="1" spans="1:17" x14ac:dyDescent="0.25">
      <c r="A1" s="18" t="s">
        <v>104</v>
      </c>
      <c r="B1" s="18" t="s">
        <v>105</v>
      </c>
      <c r="C1" s="18" t="s">
        <v>70</v>
      </c>
    </row>
    <row r="2" spans="1:17" x14ac:dyDescent="0.25">
      <c r="A2" s="6" t="s">
        <v>30</v>
      </c>
      <c r="B2" s="6">
        <f>3</f>
        <v>3</v>
      </c>
      <c r="C2" s="6" t="s">
        <v>496</v>
      </c>
      <c r="E2" s="6">
        <f>3</f>
        <v>3</v>
      </c>
      <c r="F2" s="6">
        <f>2</f>
        <v>2</v>
      </c>
      <c r="G2" s="6">
        <f>2</f>
        <v>2</v>
      </c>
      <c r="H2" s="6">
        <f>2</f>
        <v>2</v>
      </c>
      <c r="I2" s="6">
        <f>2</f>
        <v>2</v>
      </c>
      <c r="J2" s="6">
        <f>2</f>
        <v>2</v>
      </c>
      <c r="K2" s="6">
        <f>4</f>
        <v>4</v>
      </c>
      <c r="L2" s="6">
        <f>4</f>
        <v>4</v>
      </c>
      <c r="M2" s="6">
        <f>6</f>
        <v>6</v>
      </c>
      <c r="N2" s="6">
        <f>6</f>
        <v>6</v>
      </c>
      <c r="O2" s="6">
        <f>6</f>
        <v>6</v>
      </c>
      <c r="P2" s="6">
        <f>5</f>
        <v>5</v>
      </c>
      <c r="Q2" s="6">
        <f>5</f>
        <v>5</v>
      </c>
    </row>
    <row r="3" spans="1:17" x14ac:dyDescent="0.25">
      <c r="A3" s="6" t="s">
        <v>31</v>
      </c>
      <c r="B3" s="6">
        <f>2</f>
        <v>2</v>
      </c>
      <c r="C3" s="6" t="s">
        <v>497</v>
      </c>
    </row>
    <row r="4" spans="1:17" x14ac:dyDescent="0.25">
      <c r="A4" s="6" t="s">
        <v>32</v>
      </c>
      <c r="B4" s="6">
        <f>2</f>
        <v>2</v>
      </c>
      <c r="C4" s="6" t="s">
        <v>498</v>
      </c>
    </row>
    <row r="5" spans="1:17" x14ac:dyDescent="0.25">
      <c r="A5" s="6" t="s">
        <v>33</v>
      </c>
      <c r="B5" s="6">
        <f>2</f>
        <v>2</v>
      </c>
      <c r="C5" s="6" t="s">
        <v>499</v>
      </c>
    </row>
    <row r="6" spans="1:17" x14ac:dyDescent="0.25">
      <c r="A6" s="6" t="s">
        <v>34</v>
      </c>
      <c r="B6" s="6">
        <f>2</f>
        <v>2</v>
      </c>
      <c r="C6" s="6" t="s">
        <v>500</v>
      </c>
    </row>
    <row r="7" spans="1:17" x14ac:dyDescent="0.25">
      <c r="A7" s="6" t="s">
        <v>35</v>
      </c>
      <c r="B7" s="6">
        <f>2</f>
        <v>2</v>
      </c>
      <c r="C7" s="6" t="s">
        <v>501</v>
      </c>
    </row>
    <row r="8" spans="1:17" x14ac:dyDescent="0.25">
      <c r="A8" s="6" t="s">
        <v>36</v>
      </c>
      <c r="B8" s="6">
        <f>4</f>
        <v>4</v>
      </c>
      <c r="C8" s="6" t="s">
        <v>502</v>
      </c>
    </row>
    <row r="9" spans="1:17" x14ac:dyDescent="0.25">
      <c r="A9" s="6" t="s">
        <v>37</v>
      </c>
      <c r="B9" s="6">
        <f>4</f>
        <v>4</v>
      </c>
      <c r="C9" s="6" t="s">
        <v>503</v>
      </c>
    </row>
    <row r="10" spans="1:17" x14ac:dyDescent="0.25">
      <c r="A10" s="6" t="s">
        <v>38</v>
      </c>
      <c r="B10" s="6">
        <f>6</f>
        <v>6</v>
      </c>
      <c r="C10" s="6" t="s">
        <v>504</v>
      </c>
    </row>
    <row r="11" spans="1:17" x14ac:dyDescent="0.25">
      <c r="A11" s="6" t="s">
        <v>39</v>
      </c>
      <c r="B11" s="6">
        <f>6</f>
        <v>6</v>
      </c>
      <c r="C11" s="6" t="s">
        <v>505</v>
      </c>
    </row>
    <row r="12" spans="1:17" x14ac:dyDescent="0.25">
      <c r="A12" s="6" t="s">
        <v>40</v>
      </c>
      <c r="B12" s="6">
        <f>6</f>
        <v>6</v>
      </c>
      <c r="C12" s="6" t="s">
        <v>506</v>
      </c>
    </row>
    <row r="13" spans="1:17" x14ac:dyDescent="0.25">
      <c r="A13" s="6" t="s">
        <v>41</v>
      </c>
      <c r="B13" s="6">
        <f>5</f>
        <v>5</v>
      </c>
      <c r="C13" s="6" t="s">
        <v>507</v>
      </c>
    </row>
    <row r="14" spans="1:17" x14ac:dyDescent="0.25">
      <c r="A14" s="6" t="s">
        <v>42</v>
      </c>
      <c r="B14" s="6">
        <f>5</f>
        <v>5</v>
      </c>
      <c r="C14" s="6" t="s">
        <v>508</v>
      </c>
    </row>
  </sheetData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787548-09C1-48F1-B69C-2F0215406F83}">
  <dimension ref="A1:T17"/>
  <sheetViews>
    <sheetView workbookViewId="0">
      <selection activeCell="E2" sqref="E2:T2"/>
    </sheetView>
  </sheetViews>
  <sheetFormatPr defaultRowHeight="15" x14ac:dyDescent="0.25"/>
  <cols>
    <col min="1" max="1" width="45.28515625" bestFit="1" customWidth="1"/>
    <col min="2" max="2" width="10" bestFit="1" customWidth="1"/>
    <col min="3" max="3" width="74.85546875" bestFit="1" customWidth="1"/>
  </cols>
  <sheetData>
    <row r="1" spans="1:20" x14ac:dyDescent="0.25">
      <c r="A1" s="26" t="s">
        <v>446</v>
      </c>
      <c r="B1" s="26" t="s">
        <v>447</v>
      </c>
      <c r="C1" s="26" t="s">
        <v>70</v>
      </c>
    </row>
    <row r="2" spans="1:20" x14ac:dyDescent="0.25">
      <c r="A2" s="25" t="s">
        <v>27</v>
      </c>
      <c r="B2" s="25">
        <f>1/2</f>
        <v>0.5</v>
      </c>
      <c r="C2" s="25" t="s">
        <v>448</v>
      </c>
      <c r="E2" s="25">
        <f>1/2</f>
        <v>0.5</v>
      </c>
      <c r="F2" s="25">
        <v>3</v>
      </c>
      <c r="G2" s="25" t="s">
        <v>150</v>
      </c>
      <c r="H2" s="25" t="s">
        <v>150</v>
      </c>
      <c r="I2" s="25" t="s">
        <v>150</v>
      </c>
      <c r="J2" s="25" t="s">
        <v>145</v>
      </c>
      <c r="K2" s="25" t="s">
        <v>454</v>
      </c>
      <c r="L2" s="25" t="s">
        <v>145</v>
      </c>
      <c r="M2" s="25" t="s">
        <v>145</v>
      </c>
      <c r="N2" s="25">
        <f>1/2</f>
        <v>0.5</v>
      </c>
      <c r="O2" s="25" t="s">
        <v>140</v>
      </c>
      <c r="P2" s="25">
        <f>1/2</f>
        <v>0.5</v>
      </c>
      <c r="Q2" s="25" t="s">
        <v>150</v>
      </c>
      <c r="R2" s="25" t="s">
        <v>150</v>
      </c>
      <c r="S2" s="25" t="s">
        <v>150</v>
      </c>
      <c r="T2" s="25" t="s">
        <v>150</v>
      </c>
    </row>
    <row r="3" spans="1:20" x14ac:dyDescent="0.25">
      <c r="A3" s="25" t="s">
        <v>28</v>
      </c>
      <c r="B3" s="25">
        <v>3</v>
      </c>
      <c r="C3" s="25" t="s">
        <v>449</v>
      </c>
    </row>
    <row r="4" spans="1:20" x14ac:dyDescent="0.25">
      <c r="A4" s="25" t="s">
        <v>29</v>
      </c>
      <c r="B4" s="25" t="s">
        <v>150</v>
      </c>
      <c r="C4" s="25" t="s">
        <v>450</v>
      </c>
    </row>
    <row r="5" spans="1:20" x14ac:dyDescent="0.25">
      <c r="A5" s="25" t="s">
        <v>30</v>
      </c>
      <c r="B5" s="25" t="s">
        <v>150</v>
      </c>
      <c r="C5" s="25" t="s">
        <v>451</v>
      </c>
    </row>
    <row r="6" spans="1:20" x14ac:dyDescent="0.25">
      <c r="A6" s="25" t="s">
        <v>31</v>
      </c>
      <c r="B6" s="25" t="s">
        <v>150</v>
      </c>
      <c r="C6" s="25" t="s">
        <v>452</v>
      </c>
    </row>
    <row r="7" spans="1:20" x14ac:dyDescent="0.25">
      <c r="A7" s="25" t="s">
        <v>32</v>
      </c>
      <c r="B7" s="25" t="s">
        <v>145</v>
      </c>
      <c r="C7" s="25" t="s">
        <v>453</v>
      </c>
    </row>
    <row r="8" spans="1:20" x14ac:dyDescent="0.25">
      <c r="A8" s="25" t="s">
        <v>33</v>
      </c>
      <c r="B8" s="25" t="s">
        <v>454</v>
      </c>
      <c r="C8" s="25" t="s">
        <v>455</v>
      </c>
    </row>
    <row r="9" spans="1:20" x14ac:dyDescent="0.25">
      <c r="A9" s="25" t="s">
        <v>34</v>
      </c>
      <c r="B9" s="25" t="s">
        <v>145</v>
      </c>
      <c r="C9" s="25" t="s">
        <v>456</v>
      </c>
    </row>
    <row r="10" spans="1:20" x14ac:dyDescent="0.25">
      <c r="A10" s="25" t="s">
        <v>35</v>
      </c>
      <c r="B10" s="25" t="s">
        <v>145</v>
      </c>
      <c r="C10" s="25" t="s">
        <v>457</v>
      </c>
    </row>
    <row r="11" spans="1:20" x14ac:dyDescent="0.25">
      <c r="A11" s="25" t="s">
        <v>36</v>
      </c>
      <c r="B11" s="25">
        <f>1/2</f>
        <v>0.5</v>
      </c>
      <c r="C11" s="25" t="s">
        <v>458</v>
      </c>
    </row>
    <row r="12" spans="1:20" x14ac:dyDescent="0.25">
      <c r="A12" s="25" t="s">
        <v>37</v>
      </c>
      <c r="B12" s="25" t="s">
        <v>140</v>
      </c>
      <c r="C12" s="25" t="s">
        <v>459</v>
      </c>
    </row>
    <row r="13" spans="1:20" x14ac:dyDescent="0.25">
      <c r="A13" s="25" t="s">
        <v>38</v>
      </c>
      <c r="B13" s="25">
        <f>1/2</f>
        <v>0.5</v>
      </c>
      <c r="C13" s="25" t="s">
        <v>460</v>
      </c>
    </row>
    <row r="14" spans="1:20" x14ac:dyDescent="0.25">
      <c r="A14" s="25" t="s">
        <v>39</v>
      </c>
      <c r="B14" s="25" t="s">
        <v>150</v>
      </c>
      <c r="C14" s="25" t="s">
        <v>461</v>
      </c>
    </row>
    <row r="15" spans="1:20" x14ac:dyDescent="0.25">
      <c r="A15" s="25" t="s">
        <v>40</v>
      </c>
      <c r="B15" s="25" t="s">
        <v>150</v>
      </c>
      <c r="C15" s="25" t="s">
        <v>462</v>
      </c>
    </row>
    <row r="16" spans="1:20" x14ac:dyDescent="0.25">
      <c r="A16" s="25" t="s">
        <v>41</v>
      </c>
      <c r="B16" s="25" t="s">
        <v>150</v>
      </c>
      <c r="C16" s="25" t="s">
        <v>463</v>
      </c>
    </row>
    <row r="17" spans="1:3" x14ac:dyDescent="0.25">
      <c r="A17" s="25" t="s">
        <v>42</v>
      </c>
      <c r="B17" s="25" t="s">
        <v>150</v>
      </c>
      <c r="C17" s="25" t="s">
        <v>464</v>
      </c>
    </row>
  </sheetData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D8692E-D3D4-4FB6-932E-0A05E683D62D}">
  <dimension ref="A1:U18"/>
  <sheetViews>
    <sheetView workbookViewId="0">
      <selection activeCell="E2" sqref="E2:U2"/>
    </sheetView>
  </sheetViews>
  <sheetFormatPr defaultRowHeight="15" x14ac:dyDescent="0.25"/>
  <cols>
    <col min="1" max="1" width="45.28515625" bestFit="1" customWidth="1"/>
    <col min="2" max="2" width="17.7109375" bestFit="1" customWidth="1"/>
    <col min="3" max="3" width="84.7109375" bestFit="1" customWidth="1"/>
  </cols>
  <sheetData>
    <row r="1" spans="1:21" x14ac:dyDescent="0.25">
      <c r="A1" s="6" t="s">
        <v>104</v>
      </c>
      <c r="B1" s="6" t="s">
        <v>105</v>
      </c>
      <c r="C1" s="6" t="s">
        <v>70</v>
      </c>
    </row>
    <row r="2" spans="1:21" x14ac:dyDescent="0.25">
      <c r="A2" s="6" t="s">
        <v>26</v>
      </c>
      <c r="B2" s="6">
        <v>1</v>
      </c>
      <c r="C2" s="6" t="s">
        <v>429</v>
      </c>
      <c r="E2" s="6">
        <v>1</v>
      </c>
      <c r="F2" s="6">
        <v>1</v>
      </c>
      <c r="G2" s="6">
        <v>1</v>
      </c>
      <c r="H2" s="6">
        <v>1</v>
      </c>
      <c r="I2" s="6">
        <v>1</v>
      </c>
      <c r="J2" s="6">
        <v>1</v>
      </c>
      <c r="K2" s="6">
        <v>1</v>
      </c>
      <c r="L2" s="6">
        <v>1</v>
      </c>
      <c r="M2" s="6">
        <v>1</v>
      </c>
      <c r="N2" s="6">
        <v>1</v>
      </c>
      <c r="O2" s="6">
        <f t="shared" ref="O2:U2" si="0">1*1/2</f>
        <v>0.5</v>
      </c>
      <c r="P2" s="6">
        <f t="shared" si="0"/>
        <v>0.5</v>
      </c>
      <c r="Q2" s="6">
        <f t="shared" si="0"/>
        <v>0.5</v>
      </c>
      <c r="R2" s="6">
        <f t="shared" si="0"/>
        <v>0.5</v>
      </c>
      <c r="S2" s="6">
        <f t="shared" si="0"/>
        <v>0.5</v>
      </c>
      <c r="T2" s="6">
        <f t="shared" si="0"/>
        <v>0.5</v>
      </c>
      <c r="U2" s="6">
        <f t="shared" si="0"/>
        <v>0.5</v>
      </c>
    </row>
    <row r="3" spans="1:21" x14ac:dyDescent="0.25">
      <c r="A3" s="6" t="s">
        <v>27</v>
      </c>
      <c r="B3" s="6">
        <v>1</v>
      </c>
      <c r="C3" s="6" t="s">
        <v>430</v>
      </c>
    </row>
    <row r="4" spans="1:21" x14ac:dyDescent="0.25">
      <c r="A4" s="6" t="s">
        <v>28</v>
      </c>
      <c r="B4" s="6">
        <v>1</v>
      </c>
      <c r="C4" s="6" t="s">
        <v>431</v>
      </c>
    </row>
    <row r="5" spans="1:21" x14ac:dyDescent="0.25">
      <c r="A5" s="6" t="s">
        <v>29</v>
      </c>
      <c r="B5" s="6">
        <v>1</v>
      </c>
      <c r="C5" s="6" t="s">
        <v>432</v>
      </c>
    </row>
    <row r="6" spans="1:21" x14ac:dyDescent="0.25">
      <c r="A6" s="6" t="s">
        <v>30</v>
      </c>
      <c r="B6" s="6">
        <v>1</v>
      </c>
      <c r="C6" s="6" t="s">
        <v>433</v>
      </c>
    </row>
    <row r="7" spans="1:21" x14ac:dyDescent="0.25">
      <c r="A7" s="6" t="s">
        <v>31</v>
      </c>
      <c r="B7" s="6">
        <v>1</v>
      </c>
      <c r="C7" s="6" t="s">
        <v>434</v>
      </c>
    </row>
    <row r="8" spans="1:21" x14ac:dyDescent="0.25">
      <c r="A8" s="6" t="s">
        <v>32</v>
      </c>
      <c r="B8" s="6">
        <v>1</v>
      </c>
      <c r="C8" s="6" t="s">
        <v>435</v>
      </c>
    </row>
    <row r="9" spans="1:21" x14ac:dyDescent="0.25">
      <c r="A9" s="6" t="s">
        <v>33</v>
      </c>
      <c r="B9" s="6">
        <v>1</v>
      </c>
      <c r="C9" s="6" t="s">
        <v>436</v>
      </c>
    </row>
    <row r="10" spans="1:21" x14ac:dyDescent="0.25">
      <c r="A10" s="6" t="s">
        <v>34</v>
      </c>
      <c r="B10" s="6">
        <v>1</v>
      </c>
      <c r="C10" s="6" t="s">
        <v>437</v>
      </c>
    </row>
    <row r="11" spans="1:21" x14ac:dyDescent="0.25">
      <c r="A11" s="6" t="s">
        <v>35</v>
      </c>
      <c r="B11" s="6">
        <v>1</v>
      </c>
      <c r="C11" s="6" t="s">
        <v>438</v>
      </c>
    </row>
    <row r="12" spans="1:21" x14ac:dyDescent="0.25">
      <c r="A12" s="6" t="s">
        <v>36</v>
      </c>
      <c r="B12" s="6">
        <f t="shared" ref="B12:B18" si="1">1*1/2</f>
        <v>0.5</v>
      </c>
      <c r="C12" s="6" t="s">
        <v>439</v>
      </c>
    </row>
    <row r="13" spans="1:21" x14ac:dyDescent="0.25">
      <c r="A13" s="6" t="s">
        <v>37</v>
      </c>
      <c r="B13" s="6">
        <f t="shared" si="1"/>
        <v>0.5</v>
      </c>
      <c r="C13" s="6" t="s">
        <v>440</v>
      </c>
    </row>
    <row r="14" spans="1:21" x14ac:dyDescent="0.25">
      <c r="A14" s="6" t="s">
        <v>38</v>
      </c>
      <c r="B14" s="6">
        <f t="shared" si="1"/>
        <v>0.5</v>
      </c>
      <c r="C14" s="6" t="s">
        <v>441</v>
      </c>
    </row>
    <row r="15" spans="1:21" x14ac:dyDescent="0.25">
      <c r="A15" s="6" t="s">
        <v>39</v>
      </c>
      <c r="B15" s="6">
        <f t="shared" si="1"/>
        <v>0.5</v>
      </c>
      <c r="C15" s="6" t="s">
        <v>442</v>
      </c>
    </row>
    <row r="16" spans="1:21" x14ac:dyDescent="0.25">
      <c r="A16" s="6" t="s">
        <v>40</v>
      </c>
      <c r="B16" s="6">
        <f t="shared" si="1"/>
        <v>0.5</v>
      </c>
      <c r="C16" s="6" t="s">
        <v>443</v>
      </c>
    </row>
    <row r="17" spans="1:3" x14ac:dyDescent="0.25">
      <c r="A17" s="6" t="s">
        <v>41</v>
      </c>
      <c r="B17" s="6">
        <f t="shared" si="1"/>
        <v>0.5</v>
      </c>
      <c r="C17" s="6" t="s">
        <v>444</v>
      </c>
    </row>
    <row r="18" spans="1:3" x14ac:dyDescent="0.25">
      <c r="A18" s="6" t="s">
        <v>42</v>
      </c>
      <c r="B18" s="6">
        <f t="shared" si="1"/>
        <v>0.5</v>
      </c>
      <c r="C18" s="6" t="s">
        <v>445</v>
      </c>
    </row>
  </sheetData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436507-FF29-4181-ACD5-673D4DEA4A59}">
  <dimension ref="A1:V19"/>
  <sheetViews>
    <sheetView workbookViewId="0">
      <selection activeCell="E2" sqref="E2:V2"/>
    </sheetView>
  </sheetViews>
  <sheetFormatPr defaultRowHeight="15" x14ac:dyDescent="0.25"/>
  <cols>
    <col min="1" max="1" width="45.28515625" bestFit="1" customWidth="1"/>
    <col min="2" max="2" width="17.7109375" bestFit="1" customWidth="1"/>
    <col min="3" max="3" width="83.7109375" bestFit="1" customWidth="1"/>
  </cols>
  <sheetData>
    <row r="1" spans="1:22" x14ac:dyDescent="0.25">
      <c r="A1" s="6" t="s">
        <v>104</v>
      </c>
      <c r="B1" s="6" t="s">
        <v>105</v>
      </c>
      <c r="C1" s="6" t="s">
        <v>70</v>
      </c>
    </row>
    <row r="2" spans="1:22" x14ac:dyDescent="0.25">
      <c r="A2" s="6" t="s">
        <v>25</v>
      </c>
      <c r="B2" s="6">
        <v>2</v>
      </c>
      <c r="C2" s="6" t="s">
        <v>411</v>
      </c>
      <c r="E2" s="6">
        <v>2</v>
      </c>
      <c r="F2" s="6">
        <v>2</v>
      </c>
      <c r="G2" s="6">
        <v>2</v>
      </c>
      <c r="H2" s="6">
        <v>1</v>
      </c>
      <c r="I2" s="6">
        <v>1</v>
      </c>
      <c r="J2" s="6">
        <v>1</v>
      </c>
      <c r="K2" s="6">
        <v>1</v>
      </c>
      <c r="L2" s="6">
        <v>1</v>
      </c>
      <c r="M2" s="6">
        <v>1</v>
      </c>
      <c r="N2" s="6">
        <v>1</v>
      </c>
      <c r="O2" s="6">
        <v>1</v>
      </c>
      <c r="P2" s="6">
        <v>2</v>
      </c>
      <c r="Q2" s="6">
        <v>2</v>
      </c>
      <c r="R2" s="6">
        <v>2</v>
      </c>
      <c r="S2" s="6">
        <v>2</v>
      </c>
      <c r="T2" s="6">
        <v>2</v>
      </c>
      <c r="U2" s="6">
        <v>2</v>
      </c>
      <c r="V2" s="6">
        <v>2</v>
      </c>
    </row>
    <row r="3" spans="1:22" x14ac:dyDescent="0.25">
      <c r="A3" s="6" t="s">
        <v>26</v>
      </c>
      <c r="B3" s="6">
        <v>2</v>
      </c>
      <c r="C3" s="6" t="s">
        <v>412</v>
      </c>
    </row>
    <row r="4" spans="1:22" x14ac:dyDescent="0.25">
      <c r="A4" s="6" t="s">
        <v>27</v>
      </c>
      <c r="B4" s="6">
        <v>2</v>
      </c>
      <c r="C4" s="6" t="s">
        <v>413</v>
      </c>
    </row>
    <row r="5" spans="1:22" x14ac:dyDescent="0.25">
      <c r="A5" s="6" t="s">
        <v>28</v>
      </c>
      <c r="B5" s="6">
        <v>1</v>
      </c>
      <c r="C5" s="6" t="s">
        <v>414</v>
      </c>
    </row>
    <row r="6" spans="1:22" x14ac:dyDescent="0.25">
      <c r="A6" s="6" t="s">
        <v>29</v>
      </c>
      <c r="B6" s="6">
        <v>1</v>
      </c>
      <c r="C6" s="6" t="s">
        <v>415</v>
      </c>
    </row>
    <row r="7" spans="1:22" x14ac:dyDescent="0.25">
      <c r="A7" s="6" t="s">
        <v>30</v>
      </c>
      <c r="B7" s="6">
        <v>1</v>
      </c>
      <c r="C7" s="6" t="s">
        <v>416</v>
      </c>
    </row>
    <row r="8" spans="1:22" x14ac:dyDescent="0.25">
      <c r="A8" s="6" t="s">
        <v>31</v>
      </c>
      <c r="B8" s="6">
        <v>1</v>
      </c>
      <c r="C8" s="6" t="s">
        <v>417</v>
      </c>
    </row>
    <row r="9" spans="1:22" x14ac:dyDescent="0.25">
      <c r="A9" s="6" t="s">
        <v>32</v>
      </c>
      <c r="B9" s="6">
        <v>1</v>
      </c>
      <c r="C9" s="6" t="s">
        <v>418</v>
      </c>
    </row>
    <row r="10" spans="1:22" x14ac:dyDescent="0.25">
      <c r="A10" s="6" t="s">
        <v>33</v>
      </c>
      <c r="B10" s="6">
        <v>1</v>
      </c>
      <c r="C10" s="6" t="s">
        <v>419</v>
      </c>
    </row>
    <row r="11" spans="1:22" x14ac:dyDescent="0.25">
      <c r="A11" s="6" t="s">
        <v>34</v>
      </c>
      <c r="B11" s="6">
        <v>1</v>
      </c>
      <c r="C11" s="6" t="s">
        <v>420</v>
      </c>
    </row>
    <row r="12" spans="1:22" x14ac:dyDescent="0.25">
      <c r="A12" s="6" t="s">
        <v>35</v>
      </c>
      <c r="B12" s="6">
        <v>1</v>
      </c>
      <c r="C12" s="6" t="s">
        <v>421</v>
      </c>
    </row>
    <row r="13" spans="1:22" x14ac:dyDescent="0.25">
      <c r="A13" s="6" t="s">
        <v>36</v>
      </c>
      <c r="B13" s="6">
        <v>2</v>
      </c>
      <c r="C13" s="6" t="s">
        <v>422</v>
      </c>
    </row>
    <row r="14" spans="1:22" x14ac:dyDescent="0.25">
      <c r="A14" s="6" t="s">
        <v>37</v>
      </c>
      <c r="B14" s="6">
        <v>2</v>
      </c>
      <c r="C14" s="6" t="s">
        <v>423</v>
      </c>
    </row>
    <row r="15" spans="1:22" x14ac:dyDescent="0.25">
      <c r="A15" s="6" t="s">
        <v>38</v>
      </c>
      <c r="B15" s="6">
        <v>2</v>
      </c>
      <c r="C15" s="6" t="s">
        <v>424</v>
      </c>
    </row>
    <row r="16" spans="1:22" x14ac:dyDescent="0.25">
      <c r="A16" s="6" t="s">
        <v>39</v>
      </c>
      <c r="B16" s="6">
        <v>2</v>
      </c>
      <c r="C16" s="6" t="s">
        <v>425</v>
      </c>
    </row>
    <row r="17" spans="1:3" x14ac:dyDescent="0.25">
      <c r="A17" s="6" t="s">
        <v>40</v>
      </c>
      <c r="B17" s="6">
        <v>2</v>
      </c>
      <c r="C17" s="6" t="s">
        <v>426</v>
      </c>
    </row>
    <row r="18" spans="1:3" x14ac:dyDescent="0.25">
      <c r="A18" s="6" t="s">
        <v>41</v>
      </c>
      <c r="B18" s="6">
        <v>2</v>
      </c>
      <c r="C18" s="6" t="s">
        <v>427</v>
      </c>
    </row>
    <row r="19" spans="1:3" x14ac:dyDescent="0.25">
      <c r="A19" s="6" t="s">
        <v>42</v>
      </c>
      <c r="B19" s="6">
        <v>2</v>
      </c>
      <c r="C19" s="6" t="s">
        <v>428</v>
      </c>
    </row>
  </sheetData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F68DF0-B680-4156-AAB9-70DDAB8EBFBC}">
  <dimension ref="A1:X21"/>
  <sheetViews>
    <sheetView workbookViewId="0">
      <selection activeCell="E2" sqref="E2:X2"/>
    </sheetView>
  </sheetViews>
  <sheetFormatPr defaultRowHeight="15" x14ac:dyDescent="0.25"/>
  <cols>
    <col min="1" max="1" width="45.28515625" bestFit="1" customWidth="1"/>
    <col min="2" max="2" width="17.7109375" bestFit="1" customWidth="1"/>
    <col min="3" max="3" width="103.5703125" bestFit="1" customWidth="1"/>
  </cols>
  <sheetData>
    <row r="1" spans="1:24" x14ac:dyDescent="0.25">
      <c r="A1" s="6" t="s">
        <v>104</v>
      </c>
      <c r="B1" s="6" t="s">
        <v>105</v>
      </c>
      <c r="C1" s="6" t="s">
        <v>70</v>
      </c>
    </row>
    <row r="2" spans="1:24" x14ac:dyDescent="0.25">
      <c r="A2" s="6" t="s">
        <v>23</v>
      </c>
      <c r="B2" s="6">
        <v>2</v>
      </c>
      <c r="C2" s="6" t="s">
        <v>372</v>
      </c>
      <c r="E2" s="6">
        <v>2</v>
      </c>
      <c r="F2" s="6">
        <v>2</v>
      </c>
      <c r="G2" s="6">
        <v>2</v>
      </c>
      <c r="H2" s="6">
        <v>2</v>
      </c>
      <c r="I2" s="6">
        <v>1</v>
      </c>
      <c r="J2" s="6">
        <v>1</v>
      </c>
      <c r="K2" s="6">
        <v>1</v>
      </c>
      <c r="L2" s="6">
        <v>1</v>
      </c>
      <c r="M2" s="6">
        <v>1</v>
      </c>
      <c r="N2" s="6">
        <v>1</v>
      </c>
      <c r="O2" s="6">
        <v>1</v>
      </c>
      <c r="P2" s="6">
        <v>1</v>
      </c>
      <c r="Q2" s="6">
        <v>1</v>
      </c>
      <c r="R2" s="6">
        <v>1</v>
      </c>
      <c r="S2" s="6">
        <v>1</v>
      </c>
      <c r="T2" s="6">
        <v>1</v>
      </c>
      <c r="U2" s="6">
        <v>1</v>
      </c>
      <c r="V2" s="6">
        <v>1</v>
      </c>
      <c r="W2" s="6">
        <v>1</v>
      </c>
      <c r="X2" s="6">
        <v>1</v>
      </c>
    </row>
    <row r="3" spans="1:24" x14ac:dyDescent="0.25">
      <c r="A3" s="6" t="s">
        <v>24</v>
      </c>
      <c r="B3" s="6">
        <v>2</v>
      </c>
      <c r="C3" s="6" t="s">
        <v>373</v>
      </c>
    </row>
    <row r="4" spans="1:24" x14ac:dyDescent="0.25">
      <c r="A4" s="6" t="s">
        <v>25</v>
      </c>
      <c r="B4" s="6">
        <v>2</v>
      </c>
      <c r="C4" s="6" t="s">
        <v>374</v>
      </c>
    </row>
    <row r="5" spans="1:24" x14ac:dyDescent="0.25">
      <c r="A5" s="6" t="s">
        <v>26</v>
      </c>
      <c r="B5" s="6">
        <v>2</v>
      </c>
      <c r="C5" s="6" t="s">
        <v>375</v>
      </c>
    </row>
    <row r="6" spans="1:24" x14ac:dyDescent="0.25">
      <c r="A6" s="6" t="s">
        <v>27</v>
      </c>
      <c r="B6" s="6">
        <v>1</v>
      </c>
      <c r="C6" s="6" t="s">
        <v>376</v>
      </c>
    </row>
    <row r="7" spans="1:24" x14ac:dyDescent="0.25">
      <c r="A7" s="6" t="s">
        <v>28</v>
      </c>
      <c r="B7" s="6">
        <v>1</v>
      </c>
      <c r="C7" s="6" t="s">
        <v>377</v>
      </c>
    </row>
    <row r="8" spans="1:24" x14ac:dyDescent="0.25">
      <c r="A8" s="6" t="s">
        <v>29</v>
      </c>
      <c r="B8" s="6">
        <v>1</v>
      </c>
      <c r="C8" s="6" t="s">
        <v>378</v>
      </c>
    </row>
    <row r="9" spans="1:24" x14ac:dyDescent="0.25">
      <c r="A9" s="6" t="s">
        <v>30</v>
      </c>
      <c r="B9" s="6">
        <v>1</v>
      </c>
      <c r="C9" s="6" t="s">
        <v>379</v>
      </c>
    </row>
    <row r="10" spans="1:24" x14ac:dyDescent="0.25">
      <c r="A10" s="6" t="s">
        <v>31</v>
      </c>
      <c r="B10" s="6">
        <v>1</v>
      </c>
      <c r="C10" s="6" t="s">
        <v>380</v>
      </c>
    </row>
    <row r="11" spans="1:24" x14ac:dyDescent="0.25">
      <c r="A11" s="6" t="s">
        <v>32</v>
      </c>
      <c r="B11" s="6">
        <v>1</v>
      </c>
      <c r="C11" s="6" t="s">
        <v>381</v>
      </c>
    </row>
    <row r="12" spans="1:24" x14ac:dyDescent="0.25">
      <c r="A12" s="6" t="s">
        <v>33</v>
      </c>
      <c r="B12" s="6">
        <v>1</v>
      </c>
      <c r="C12" s="6" t="s">
        <v>382</v>
      </c>
    </row>
    <row r="13" spans="1:24" x14ac:dyDescent="0.25">
      <c r="A13" s="6" t="s">
        <v>34</v>
      </c>
      <c r="B13" s="6">
        <v>1</v>
      </c>
      <c r="C13" s="6" t="s">
        <v>383</v>
      </c>
    </row>
    <row r="14" spans="1:24" x14ac:dyDescent="0.25">
      <c r="A14" s="6" t="s">
        <v>35</v>
      </c>
      <c r="B14" s="6">
        <v>1</v>
      </c>
      <c r="C14" s="6" t="s">
        <v>384</v>
      </c>
    </row>
    <row r="15" spans="1:24" x14ac:dyDescent="0.25">
      <c r="A15" s="6" t="s">
        <v>36</v>
      </c>
      <c r="B15" s="6">
        <v>1</v>
      </c>
      <c r="C15" s="6" t="s">
        <v>385</v>
      </c>
    </row>
    <row r="16" spans="1:24" x14ac:dyDescent="0.25">
      <c r="A16" s="6" t="s">
        <v>37</v>
      </c>
      <c r="B16" s="6">
        <v>1</v>
      </c>
      <c r="C16" s="6" t="s">
        <v>386</v>
      </c>
    </row>
    <row r="17" spans="1:3" x14ac:dyDescent="0.25">
      <c r="A17" s="6" t="s">
        <v>38</v>
      </c>
      <c r="B17" s="6">
        <v>1</v>
      </c>
      <c r="C17" s="6" t="s">
        <v>387</v>
      </c>
    </row>
    <row r="18" spans="1:3" x14ac:dyDescent="0.25">
      <c r="A18" s="6" t="s">
        <v>39</v>
      </c>
      <c r="B18" s="6">
        <v>1</v>
      </c>
      <c r="C18" s="6" t="s">
        <v>388</v>
      </c>
    </row>
    <row r="19" spans="1:3" x14ac:dyDescent="0.25">
      <c r="A19" s="6" t="s">
        <v>40</v>
      </c>
      <c r="B19" s="6">
        <v>1</v>
      </c>
      <c r="C19" s="6" t="s">
        <v>389</v>
      </c>
    </row>
    <row r="20" spans="1:3" x14ac:dyDescent="0.25">
      <c r="A20" s="6" t="s">
        <v>41</v>
      </c>
      <c r="B20" s="6">
        <v>1</v>
      </c>
      <c r="C20" s="6" t="s">
        <v>390</v>
      </c>
    </row>
    <row r="21" spans="1:3" x14ac:dyDescent="0.25">
      <c r="A21" s="6" t="s">
        <v>42</v>
      </c>
      <c r="B21" s="6">
        <v>1</v>
      </c>
      <c r="C21" s="6" t="s">
        <v>391</v>
      </c>
    </row>
  </sheetData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5E2A7B-663A-4637-9075-1ED271BBCABD}">
  <dimension ref="A1:W20"/>
  <sheetViews>
    <sheetView workbookViewId="0">
      <selection activeCell="E2" sqref="E2:W2"/>
    </sheetView>
  </sheetViews>
  <sheetFormatPr defaultRowHeight="15" x14ac:dyDescent="0.25"/>
  <cols>
    <col min="1" max="1" width="45.28515625" bestFit="1" customWidth="1"/>
    <col min="2" max="2" width="17.7109375" bestFit="1" customWidth="1"/>
    <col min="3" max="3" width="100.5703125" bestFit="1" customWidth="1"/>
  </cols>
  <sheetData>
    <row r="1" spans="1:23" x14ac:dyDescent="0.25">
      <c r="A1" s="6" t="s">
        <v>104</v>
      </c>
      <c r="B1" s="6" t="s">
        <v>105</v>
      </c>
      <c r="C1" s="6" t="s">
        <v>70</v>
      </c>
    </row>
    <row r="2" spans="1:23" x14ac:dyDescent="0.25">
      <c r="A2" s="6" t="s">
        <v>24</v>
      </c>
      <c r="B2" s="6">
        <f>1*1/2</f>
        <v>0.5</v>
      </c>
      <c r="C2" s="6" t="s">
        <v>392</v>
      </c>
      <c r="E2" s="6">
        <f>1*1/2</f>
        <v>0.5</v>
      </c>
      <c r="F2" s="6">
        <v>1</v>
      </c>
      <c r="G2" s="6">
        <v>1</v>
      </c>
      <c r="H2" s="6">
        <v>1</v>
      </c>
      <c r="I2" s="6">
        <v>1</v>
      </c>
      <c r="J2" s="6">
        <v>1</v>
      </c>
      <c r="K2" s="6">
        <v>1</v>
      </c>
      <c r="L2" s="6">
        <v>1</v>
      </c>
      <c r="M2" s="6">
        <v>1</v>
      </c>
      <c r="N2" s="6">
        <v>1</v>
      </c>
      <c r="O2" s="6">
        <v>1</v>
      </c>
      <c r="P2" s="6">
        <v>1</v>
      </c>
      <c r="Q2" s="6">
        <f t="shared" ref="Q2:W2" si="0">1*1/2</f>
        <v>0.5</v>
      </c>
      <c r="R2" s="6">
        <f t="shared" si="0"/>
        <v>0.5</v>
      </c>
      <c r="S2" s="6">
        <f t="shared" si="0"/>
        <v>0.5</v>
      </c>
      <c r="T2" s="6">
        <f t="shared" si="0"/>
        <v>0.5</v>
      </c>
      <c r="U2" s="6">
        <f t="shared" si="0"/>
        <v>0.5</v>
      </c>
      <c r="V2" s="6">
        <f t="shared" si="0"/>
        <v>0.5</v>
      </c>
      <c r="W2" s="6">
        <f t="shared" si="0"/>
        <v>0.5</v>
      </c>
    </row>
    <row r="3" spans="1:23" x14ac:dyDescent="0.25">
      <c r="A3" s="6" t="s">
        <v>25</v>
      </c>
      <c r="B3" s="6">
        <v>1</v>
      </c>
      <c r="C3" s="6" t="s">
        <v>393</v>
      </c>
    </row>
    <row r="4" spans="1:23" x14ac:dyDescent="0.25">
      <c r="A4" s="6" t="s">
        <v>26</v>
      </c>
      <c r="B4" s="6">
        <v>1</v>
      </c>
      <c r="C4" s="6" t="s">
        <v>394</v>
      </c>
    </row>
    <row r="5" spans="1:23" x14ac:dyDescent="0.25">
      <c r="A5" s="6" t="s">
        <v>27</v>
      </c>
      <c r="B5" s="6">
        <v>1</v>
      </c>
      <c r="C5" s="6" t="s">
        <v>395</v>
      </c>
    </row>
    <row r="6" spans="1:23" x14ac:dyDescent="0.25">
      <c r="A6" s="6" t="s">
        <v>28</v>
      </c>
      <c r="B6" s="6">
        <v>1</v>
      </c>
      <c r="C6" s="6" t="s">
        <v>396</v>
      </c>
    </row>
    <row r="7" spans="1:23" x14ac:dyDescent="0.25">
      <c r="A7" s="6" t="s">
        <v>29</v>
      </c>
      <c r="B7" s="6">
        <v>1</v>
      </c>
      <c r="C7" s="6" t="s">
        <v>397</v>
      </c>
    </row>
    <row r="8" spans="1:23" x14ac:dyDescent="0.25">
      <c r="A8" s="6" t="s">
        <v>30</v>
      </c>
      <c r="B8" s="6">
        <v>1</v>
      </c>
      <c r="C8" s="6" t="s">
        <v>398</v>
      </c>
    </row>
    <row r="9" spans="1:23" x14ac:dyDescent="0.25">
      <c r="A9" s="6" t="s">
        <v>31</v>
      </c>
      <c r="B9" s="6">
        <v>1</v>
      </c>
      <c r="C9" s="6" t="s">
        <v>399</v>
      </c>
    </row>
    <row r="10" spans="1:23" x14ac:dyDescent="0.25">
      <c r="A10" s="6" t="s">
        <v>32</v>
      </c>
      <c r="B10" s="6">
        <v>1</v>
      </c>
      <c r="C10" s="6" t="s">
        <v>400</v>
      </c>
    </row>
    <row r="11" spans="1:23" x14ac:dyDescent="0.25">
      <c r="A11" s="6" t="s">
        <v>33</v>
      </c>
      <c r="B11" s="6">
        <v>1</v>
      </c>
      <c r="C11" s="6" t="s">
        <v>401</v>
      </c>
    </row>
    <row r="12" spans="1:23" x14ac:dyDescent="0.25">
      <c r="A12" s="6" t="s">
        <v>34</v>
      </c>
      <c r="B12" s="6">
        <v>1</v>
      </c>
      <c r="C12" s="6" t="s">
        <v>402</v>
      </c>
    </row>
    <row r="13" spans="1:23" x14ac:dyDescent="0.25">
      <c r="A13" s="6" t="s">
        <v>35</v>
      </c>
      <c r="B13" s="6">
        <v>1</v>
      </c>
      <c r="C13" s="6" t="s">
        <v>403</v>
      </c>
    </row>
    <row r="14" spans="1:23" x14ac:dyDescent="0.25">
      <c r="A14" s="6" t="s">
        <v>36</v>
      </c>
      <c r="B14" s="6">
        <f t="shared" ref="B14:B20" si="1">1*1/2</f>
        <v>0.5</v>
      </c>
      <c r="C14" s="6" t="s">
        <v>404</v>
      </c>
    </row>
    <row r="15" spans="1:23" x14ac:dyDescent="0.25">
      <c r="A15" s="6" t="s">
        <v>37</v>
      </c>
      <c r="B15" s="6">
        <f t="shared" si="1"/>
        <v>0.5</v>
      </c>
      <c r="C15" s="6" t="s">
        <v>405</v>
      </c>
    </row>
    <row r="16" spans="1:23" x14ac:dyDescent="0.25">
      <c r="A16" s="6" t="s">
        <v>38</v>
      </c>
      <c r="B16" s="6">
        <f t="shared" si="1"/>
        <v>0.5</v>
      </c>
      <c r="C16" s="6" t="s">
        <v>406</v>
      </c>
    </row>
    <row r="17" spans="1:3" x14ac:dyDescent="0.25">
      <c r="A17" s="6" t="s">
        <v>39</v>
      </c>
      <c r="B17" s="6">
        <f t="shared" si="1"/>
        <v>0.5</v>
      </c>
      <c r="C17" s="6" t="s">
        <v>407</v>
      </c>
    </row>
    <row r="18" spans="1:3" x14ac:dyDescent="0.25">
      <c r="A18" s="6" t="s">
        <v>40</v>
      </c>
      <c r="B18" s="6">
        <f t="shared" si="1"/>
        <v>0.5</v>
      </c>
      <c r="C18" s="6" t="s">
        <v>408</v>
      </c>
    </row>
    <row r="19" spans="1:3" x14ac:dyDescent="0.25">
      <c r="A19" s="6" t="s">
        <v>41</v>
      </c>
      <c r="B19" s="6">
        <f t="shared" si="1"/>
        <v>0.5</v>
      </c>
      <c r="C19" s="6" t="s">
        <v>409</v>
      </c>
    </row>
    <row r="20" spans="1:3" x14ac:dyDescent="0.25">
      <c r="A20" s="6" t="s">
        <v>42</v>
      </c>
      <c r="B20" s="6">
        <f t="shared" si="1"/>
        <v>0.5</v>
      </c>
      <c r="C20" s="6" t="s">
        <v>410</v>
      </c>
    </row>
  </sheetData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62D8C4-3623-4378-B2EC-56C41046A29F}">
  <dimension ref="A1:Y22"/>
  <sheetViews>
    <sheetView workbookViewId="0">
      <selection activeCell="E3" sqref="E3:Y3"/>
    </sheetView>
  </sheetViews>
  <sheetFormatPr defaultRowHeight="15" x14ac:dyDescent="0.25"/>
  <cols>
    <col min="1" max="1" width="45.28515625" bestFit="1" customWidth="1"/>
    <col min="2" max="2" width="17.7109375" bestFit="1" customWidth="1"/>
    <col min="3" max="3" width="76.140625" bestFit="1" customWidth="1"/>
  </cols>
  <sheetData>
    <row r="1" spans="1:25" x14ac:dyDescent="0.25">
      <c r="A1" s="6" t="s">
        <v>104</v>
      </c>
      <c r="B1" s="6" t="s">
        <v>105</v>
      </c>
      <c r="C1" s="6" t="s">
        <v>70</v>
      </c>
    </row>
    <row r="2" spans="1:25" x14ac:dyDescent="0.25">
      <c r="A2" s="6" t="s">
        <v>22</v>
      </c>
      <c r="B2" s="6">
        <v>1</v>
      </c>
      <c r="C2" s="6" t="s">
        <v>351</v>
      </c>
    </row>
    <row r="3" spans="1:25" x14ac:dyDescent="0.25">
      <c r="A3" s="6" t="s">
        <v>23</v>
      </c>
      <c r="B3" s="6">
        <v>2</v>
      </c>
      <c r="C3" s="6" t="s">
        <v>352</v>
      </c>
      <c r="E3" s="6">
        <v>1</v>
      </c>
      <c r="F3" s="6">
        <v>2</v>
      </c>
      <c r="G3" s="6">
        <v>2</v>
      </c>
      <c r="H3" s="6">
        <v>2</v>
      </c>
      <c r="I3" s="6">
        <v>2</v>
      </c>
      <c r="J3" s="6">
        <v>1</v>
      </c>
      <c r="K3" s="6">
        <v>1</v>
      </c>
      <c r="L3" s="6">
        <v>1</v>
      </c>
      <c r="M3" s="6">
        <v>1</v>
      </c>
      <c r="N3" s="6">
        <v>1</v>
      </c>
      <c r="O3" s="6">
        <v>1</v>
      </c>
      <c r="P3" s="6">
        <v>1</v>
      </c>
      <c r="Q3" s="6">
        <v>1</v>
      </c>
      <c r="R3" s="6">
        <v>1</v>
      </c>
      <c r="S3" s="6">
        <v>1</v>
      </c>
      <c r="T3" s="6">
        <v>1</v>
      </c>
      <c r="U3" s="6">
        <v>1</v>
      </c>
      <c r="V3" s="6">
        <v>1</v>
      </c>
      <c r="W3" s="6">
        <v>1</v>
      </c>
      <c r="X3" s="6">
        <v>1</v>
      </c>
      <c r="Y3" s="6">
        <v>1</v>
      </c>
    </row>
    <row r="4" spans="1:25" x14ac:dyDescent="0.25">
      <c r="A4" s="6" t="s">
        <v>24</v>
      </c>
      <c r="B4" s="6">
        <v>2</v>
      </c>
      <c r="C4" s="6" t="s">
        <v>353</v>
      </c>
    </row>
    <row r="5" spans="1:25" x14ac:dyDescent="0.25">
      <c r="A5" s="6" t="s">
        <v>25</v>
      </c>
      <c r="B5" s="6">
        <v>2</v>
      </c>
      <c r="C5" s="6" t="s">
        <v>354</v>
      </c>
    </row>
    <row r="6" spans="1:25" x14ac:dyDescent="0.25">
      <c r="A6" s="6" t="s">
        <v>26</v>
      </c>
      <c r="B6" s="6">
        <v>2</v>
      </c>
      <c r="C6" s="6" t="s">
        <v>355</v>
      </c>
    </row>
    <row r="7" spans="1:25" x14ac:dyDescent="0.25">
      <c r="A7" s="6" t="s">
        <v>27</v>
      </c>
      <c r="B7" s="6">
        <v>1</v>
      </c>
      <c r="C7" s="6" t="s">
        <v>356</v>
      </c>
    </row>
    <row r="8" spans="1:25" x14ac:dyDescent="0.25">
      <c r="A8" s="6" t="s">
        <v>28</v>
      </c>
      <c r="B8" s="6">
        <v>1</v>
      </c>
      <c r="C8" s="6" t="s">
        <v>357</v>
      </c>
    </row>
    <row r="9" spans="1:25" x14ac:dyDescent="0.25">
      <c r="A9" s="6" t="s">
        <v>29</v>
      </c>
      <c r="B9" s="6">
        <v>1</v>
      </c>
      <c r="C9" s="6" t="s">
        <v>358</v>
      </c>
    </row>
    <row r="10" spans="1:25" x14ac:dyDescent="0.25">
      <c r="A10" s="6" t="s">
        <v>30</v>
      </c>
      <c r="B10" s="6">
        <v>1</v>
      </c>
      <c r="C10" s="6" t="s">
        <v>359</v>
      </c>
    </row>
    <row r="11" spans="1:25" x14ac:dyDescent="0.25">
      <c r="A11" s="6" t="s">
        <v>31</v>
      </c>
      <c r="B11" s="6">
        <v>1</v>
      </c>
      <c r="C11" s="6" t="s">
        <v>360</v>
      </c>
    </row>
    <row r="12" spans="1:25" x14ac:dyDescent="0.25">
      <c r="A12" s="6" t="s">
        <v>32</v>
      </c>
      <c r="B12" s="6">
        <v>1</v>
      </c>
      <c r="C12" s="6" t="s">
        <v>361</v>
      </c>
    </row>
    <row r="13" spans="1:25" x14ac:dyDescent="0.25">
      <c r="A13" s="6" t="s">
        <v>33</v>
      </c>
      <c r="B13" s="6">
        <v>1</v>
      </c>
      <c r="C13" s="6" t="s">
        <v>362</v>
      </c>
    </row>
    <row r="14" spans="1:25" x14ac:dyDescent="0.25">
      <c r="A14" s="6" t="s">
        <v>34</v>
      </c>
      <c r="B14" s="6">
        <v>1</v>
      </c>
      <c r="C14" s="6" t="s">
        <v>363</v>
      </c>
    </row>
    <row r="15" spans="1:25" x14ac:dyDescent="0.25">
      <c r="A15" s="6" t="s">
        <v>35</v>
      </c>
      <c r="B15" s="6">
        <v>1</v>
      </c>
      <c r="C15" s="6" t="s">
        <v>364</v>
      </c>
    </row>
    <row r="16" spans="1:25" x14ac:dyDescent="0.25">
      <c r="A16" s="6" t="s">
        <v>36</v>
      </c>
      <c r="B16" s="6">
        <v>1</v>
      </c>
      <c r="C16" s="6" t="s">
        <v>365</v>
      </c>
    </row>
    <row r="17" spans="1:3" x14ac:dyDescent="0.25">
      <c r="A17" s="6" t="s">
        <v>37</v>
      </c>
      <c r="B17" s="6">
        <v>1</v>
      </c>
      <c r="C17" s="6" t="s">
        <v>366</v>
      </c>
    </row>
    <row r="18" spans="1:3" x14ac:dyDescent="0.25">
      <c r="A18" s="6" t="s">
        <v>38</v>
      </c>
      <c r="B18" s="6">
        <v>1</v>
      </c>
      <c r="C18" s="6" t="s">
        <v>367</v>
      </c>
    </row>
    <row r="19" spans="1:3" x14ac:dyDescent="0.25">
      <c r="A19" s="6" t="s">
        <v>39</v>
      </c>
      <c r="B19" s="6">
        <v>1</v>
      </c>
      <c r="C19" s="6" t="s">
        <v>368</v>
      </c>
    </row>
    <row r="20" spans="1:3" x14ac:dyDescent="0.25">
      <c r="A20" s="6" t="s">
        <v>40</v>
      </c>
      <c r="B20" s="6">
        <v>1</v>
      </c>
      <c r="C20" s="6" t="s">
        <v>369</v>
      </c>
    </row>
    <row r="21" spans="1:3" x14ac:dyDescent="0.25">
      <c r="A21" s="6" t="s">
        <v>41</v>
      </c>
      <c r="B21" s="6">
        <v>1</v>
      </c>
      <c r="C21" s="6" t="s">
        <v>370</v>
      </c>
    </row>
    <row r="22" spans="1:3" x14ac:dyDescent="0.25">
      <c r="A22" s="6" t="s">
        <v>42</v>
      </c>
      <c r="B22" s="6">
        <v>1</v>
      </c>
      <c r="C22" s="6" t="s">
        <v>371</v>
      </c>
    </row>
  </sheetData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E4038E-48BC-4601-8EBF-8C68F7FA2B78}">
  <dimension ref="A1:Z23"/>
  <sheetViews>
    <sheetView workbookViewId="0">
      <selection activeCell="C33" sqref="C33"/>
    </sheetView>
  </sheetViews>
  <sheetFormatPr defaultRowHeight="15" x14ac:dyDescent="0.25"/>
  <cols>
    <col min="1" max="1" width="45.28515625" bestFit="1" customWidth="1"/>
    <col min="2" max="2" width="17.7109375" bestFit="1" customWidth="1"/>
    <col min="3" max="3" width="97" bestFit="1" customWidth="1"/>
  </cols>
  <sheetData>
    <row r="1" spans="1:26" x14ac:dyDescent="0.25">
      <c r="A1" s="6" t="s">
        <v>104</v>
      </c>
      <c r="B1" s="6" t="s">
        <v>105</v>
      </c>
      <c r="C1" s="6" t="s">
        <v>70</v>
      </c>
    </row>
    <row r="2" spans="1:26" x14ac:dyDescent="0.25">
      <c r="A2" s="6" t="s">
        <v>21</v>
      </c>
      <c r="B2" s="6">
        <v>1</v>
      </c>
      <c r="C2" s="6" t="s">
        <v>329</v>
      </c>
      <c r="E2" s="6">
        <v>1</v>
      </c>
      <c r="F2" s="6">
        <v>1</v>
      </c>
      <c r="G2" s="6">
        <v>2</v>
      </c>
      <c r="H2" s="6">
        <v>2</v>
      </c>
      <c r="I2" s="6">
        <v>2</v>
      </c>
      <c r="J2" s="6">
        <v>2</v>
      </c>
      <c r="K2" s="6">
        <v>1</v>
      </c>
      <c r="L2" s="6">
        <v>1</v>
      </c>
      <c r="M2" s="6">
        <v>1</v>
      </c>
      <c r="N2" s="6">
        <v>1</v>
      </c>
      <c r="O2" s="6">
        <v>1</v>
      </c>
      <c r="P2" s="6">
        <v>1</v>
      </c>
      <c r="Q2" s="6">
        <v>1</v>
      </c>
      <c r="R2" s="6">
        <v>1</v>
      </c>
      <c r="S2" s="6">
        <v>1</v>
      </c>
      <c r="T2" s="6">
        <v>1</v>
      </c>
      <c r="U2" s="6">
        <v>1</v>
      </c>
      <c r="V2" s="6">
        <v>1</v>
      </c>
      <c r="W2" s="6">
        <v>1</v>
      </c>
      <c r="X2" s="6">
        <v>1</v>
      </c>
      <c r="Y2" s="6">
        <v>1</v>
      </c>
      <c r="Z2" s="6">
        <v>1</v>
      </c>
    </row>
    <row r="3" spans="1:26" x14ac:dyDescent="0.25">
      <c r="A3" s="6" t="s">
        <v>22</v>
      </c>
      <c r="B3" s="6">
        <v>1</v>
      </c>
      <c r="C3" s="6" t="s">
        <v>330</v>
      </c>
    </row>
    <row r="4" spans="1:26" x14ac:dyDescent="0.25">
      <c r="A4" s="6" t="s">
        <v>23</v>
      </c>
      <c r="B4" s="6">
        <v>2</v>
      </c>
      <c r="C4" s="6" t="s">
        <v>331</v>
      </c>
    </row>
    <row r="5" spans="1:26" x14ac:dyDescent="0.25">
      <c r="A5" s="6" t="s">
        <v>24</v>
      </c>
      <c r="B5" s="6">
        <v>2</v>
      </c>
      <c r="C5" s="6" t="s">
        <v>332</v>
      </c>
    </row>
    <row r="6" spans="1:26" x14ac:dyDescent="0.25">
      <c r="A6" s="6" t="s">
        <v>25</v>
      </c>
      <c r="B6" s="6">
        <v>2</v>
      </c>
      <c r="C6" s="6" t="s">
        <v>333</v>
      </c>
    </row>
    <row r="7" spans="1:26" x14ac:dyDescent="0.25">
      <c r="A7" s="6" t="s">
        <v>26</v>
      </c>
      <c r="B7" s="6">
        <v>2</v>
      </c>
      <c r="C7" s="6" t="s">
        <v>334</v>
      </c>
    </row>
    <row r="8" spans="1:26" x14ac:dyDescent="0.25">
      <c r="A8" s="6" t="s">
        <v>27</v>
      </c>
      <c r="B8" s="6">
        <v>1</v>
      </c>
      <c r="C8" s="6" t="s">
        <v>335</v>
      </c>
    </row>
    <row r="9" spans="1:26" x14ac:dyDescent="0.25">
      <c r="A9" s="6" t="s">
        <v>28</v>
      </c>
      <c r="B9" s="6">
        <v>1</v>
      </c>
      <c r="C9" s="6" t="s">
        <v>336</v>
      </c>
    </row>
    <row r="10" spans="1:26" x14ac:dyDescent="0.25">
      <c r="A10" s="6" t="s">
        <v>29</v>
      </c>
      <c r="B10" s="6">
        <v>1</v>
      </c>
      <c r="C10" s="6" t="s">
        <v>337</v>
      </c>
    </row>
    <row r="11" spans="1:26" x14ac:dyDescent="0.25">
      <c r="A11" s="6" t="s">
        <v>30</v>
      </c>
      <c r="B11" s="6">
        <v>1</v>
      </c>
      <c r="C11" s="6" t="s">
        <v>338</v>
      </c>
    </row>
    <row r="12" spans="1:26" x14ac:dyDescent="0.25">
      <c r="A12" s="6" t="s">
        <v>31</v>
      </c>
      <c r="B12" s="6">
        <v>1</v>
      </c>
      <c r="C12" s="6" t="s">
        <v>339</v>
      </c>
    </row>
    <row r="13" spans="1:26" x14ac:dyDescent="0.25">
      <c r="A13" s="6" t="s">
        <v>32</v>
      </c>
      <c r="B13" s="6">
        <v>1</v>
      </c>
      <c r="C13" s="6" t="s">
        <v>340</v>
      </c>
    </row>
    <row r="14" spans="1:26" x14ac:dyDescent="0.25">
      <c r="A14" s="6" t="s">
        <v>33</v>
      </c>
      <c r="B14" s="6">
        <v>1</v>
      </c>
      <c r="C14" s="6" t="s">
        <v>341</v>
      </c>
    </row>
    <row r="15" spans="1:26" x14ac:dyDescent="0.25">
      <c r="A15" s="6" t="s">
        <v>34</v>
      </c>
      <c r="B15" s="6">
        <v>1</v>
      </c>
      <c r="C15" s="6" t="s">
        <v>342</v>
      </c>
    </row>
    <row r="16" spans="1:26" x14ac:dyDescent="0.25">
      <c r="A16" s="6" t="s">
        <v>35</v>
      </c>
      <c r="B16" s="6">
        <v>1</v>
      </c>
      <c r="C16" s="6" t="s">
        <v>343</v>
      </c>
    </row>
    <row r="17" spans="1:3" x14ac:dyDescent="0.25">
      <c r="A17" s="6" t="s">
        <v>36</v>
      </c>
      <c r="B17" s="6">
        <v>1</v>
      </c>
      <c r="C17" s="6" t="s">
        <v>344</v>
      </c>
    </row>
    <row r="18" spans="1:3" x14ac:dyDescent="0.25">
      <c r="A18" s="6" t="s">
        <v>37</v>
      </c>
      <c r="B18" s="6">
        <v>1</v>
      </c>
      <c r="C18" s="6" t="s">
        <v>345</v>
      </c>
    </row>
    <row r="19" spans="1:3" x14ac:dyDescent="0.25">
      <c r="A19" s="6" t="s">
        <v>38</v>
      </c>
      <c r="B19" s="6">
        <v>1</v>
      </c>
      <c r="C19" s="6" t="s">
        <v>346</v>
      </c>
    </row>
    <row r="20" spans="1:3" x14ac:dyDescent="0.25">
      <c r="A20" s="6" t="s">
        <v>39</v>
      </c>
      <c r="B20" s="6">
        <v>1</v>
      </c>
      <c r="C20" s="6" t="s">
        <v>347</v>
      </c>
    </row>
    <row r="21" spans="1:3" x14ac:dyDescent="0.25">
      <c r="A21" s="6" t="s">
        <v>40</v>
      </c>
      <c r="B21" s="6">
        <v>1</v>
      </c>
      <c r="C21" s="6" t="s">
        <v>348</v>
      </c>
    </row>
    <row r="22" spans="1:3" x14ac:dyDescent="0.25">
      <c r="A22" s="6" t="s">
        <v>41</v>
      </c>
      <c r="B22" s="6">
        <v>1</v>
      </c>
      <c r="C22" s="6" t="s">
        <v>349</v>
      </c>
    </row>
    <row r="23" spans="1:3" x14ac:dyDescent="0.25">
      <c r="A23" s="6" t="s">
        <v>42</v>
      </c>
      <c r="B23" s="6">
        <v>1</v>
      </c>
      <c r="C23" s="6" t="s">
        <v>350</v>
      </c>
    </row>
  </sheetData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A6E07D-88FE-4C0D-A168-EEBD24F0DCBA}">
  <dimension ref="A1:AA24"/>
  <sheetViews>
    <sheetView workbookViewId="0">
      <selection activeCell="E3" sqref="E3:AA3"/>
    </sheetView>
  </sheetViews>
  <sheetFormatPr defaultRowHeight="15" x14ac:dyDescent="0.25"/>
  <cols>
    <col min="1" max="1" width="45.28515625" bestFit="1" customWidth="1"/>
    <col min="2" max="2" width="17.7109375" bestFit="1" customWidth="1"/>
    <col min="3" max="3" width="90.7109375" bestFit="1" customWidth="1"/>
  </cols>
  <sheetData>
    <row r="1" spans="1:27" x14ac:dyDescent="0.25">
      <c r="A1" s="6" t="s">
        <v>104</v>
      </c>
      <c r="B1" s="6" t="s">
        <v>105</v>
      </c>
      <c r="C1" s="6" t="s">
        <v>70</v>
      </c>
    </row>
    <row r="2" spans="1:27" x14ac:dyDescent="0.25">
      <c r="A2" s="6" t="s">
        <v>20</v>
      </c>
      <c r="B2" s="6">
        <v>1</v>
      </c>
      <c r="C2" s="6" t="s">
        <v>306</v>
      </c>
    </row>
    <row r="3" spans="1:27" x14ac:dyDescent="0.25">
      <c r="A3" s="6" t="s">
        <v>21</v>
      </c>
      <c r="B3" s="6">
        <v>1</v>
      </c>
      <c r="C3" s="6" t="s">
        <v>307</v>
      </c>
      <c r="E3" s="6">
        <v>1</v>
      </c>
      <c r="F3" s="6">
        <v>1</v>
      </c>
      <c r="G3" s="6">
        <v>1</v>
      </c>
      <c r="H3" s="6">
        <f>1*1/2</f>
        <v>0.5</v>
      </c>
      <c r="I3" s="6">
        <f>1*1/2</f>
        <v>0.5</v>
      </c>
      <c r="J3" s="6">
        <v>1</v>
      </c>
      <c r="K3" s="6">
        <f>1*1/2</f>
        <v>0.5</v>
      </c>
      <c r="L3" s="6">
        <v>1</v>
      </c>
      <c r="M3" s="6">
        <v>1</v>
      </c>
      <c r="N3" s="6">
        <v>1</v>
      </c>
      <c r="O3" s="6">
        <v>1</v>
      </c>
      <c r="P3" s="6">
        <v>1</v>
      </c>
      <c r="Q3" s="6">
        <v>1</v>
      </c>
      <c r="R3" s="6">
        <v>1</v>
      </c>
      <c r="S3" s="6">
        <v>1</v>
      </c>
      <c r="T3" s="6">
        <v>1</v>
      </c>
      <c r="U3" s="6">
        <v>1</v>
      </c>
      <c r="V3" s="6">
        <v>1</v>
      </c>
      <c r="W3" s="6">
        <v>1</v>
      </c>
      <c r="X3" s="6">
        <v>1</v>
      </c>
      <c r="Y3" s="6">
        <v>1</v>
      </c>
      <c r="Z3" s="6">
        <v>1</v>
      </c>
      <c r="AA3" s="6">
        <v>1</v>
      </c>
    </row>
    <row r="4" spans="1:27" x14ac:dyDescent="0.25">
      <c r="A4" s="6" t="s">
        <v>22</v>
      </c>
      <c r="B4" s="6">
        <v>1</v>
      </c>
      <c r="C4" s="6" t="s">
        <v>308</v>
      </c>
    </row>
    <row r="5" spans="1:27" x14ac:dyDescent="0.25">
      <c r="A5" s="6" t="s">
        <v>23</v>
      </c>
      <c r="B5" s="6">
        <f>1*1/2</f>
        <v>0.5</v>
      </c>
      <c r="C5" s="6" t="s">
        <v>309</v>
      </c>
    </row>
    <row r="6" spans="1:27" x14ac:dyDescent="0.25">
      <c r="A6" s="6" t="s">
        <v>24</v>
      </c>
      <c r="B6" s="6">
        <f>1*1/2</f>
        <v>0.5</v>
      </c>
      <c r="C6" s="6" t="s">
        <v>310</v>
      </c>
    </row>
    <row r="7" spans="1:27" x14ac:dyDescent="0.25">
      <c r="A7" s="6" t="s">
        <v>25</v>
      </c>
      <c r="B7" s="6">
        <v>1</v>
      </c>
      <c r="C7" s="6" t="s">
        <v>311</v>
      </c>
    </row>
    <row r="8" spans="1:27" x14ac:dyDescent="0.25">
      <c r="A8" s="6" t="s">
        <v>26</v>
      </c>
      <c r="B8" s="6">
        <f>1*1/2</f>
        <v>0.5</v>
      </c>
      <c r="C8" s="6" t="s">
        <v>312</v>
      </c>
    </row>
    <row r="9" spans="1:27" x14ac:dyDescent="0.25">
      <c r="A9" s="6" t="s">
        <v>27</v>
      </c>
      <c r="B9" s="6">
        <v>1</v>
      </c>
      <c r="C9" s="6" t="s">
        <v>313</v>
      </c>
    </row>
    <row r="10" spans="1:27" x14ac:dyDescent="0.25">
      <c r="A10" s="6" t="s">
        <v>28</v>
      </c>
      <c r="B10" s="6">
        <v>1</v>
      </c>
      <c r="C10" s="6" t="s">
        <v>314</v>
      </c>
    </row>
    <row r="11" spans="1:27" x14ac:dyDescent="0.25">
      <c r="A11" s="6" t="s">
        <v>29</v>
      </c>
      <c r="B11" s="6">
        <v>1</v>
      </c>
      <c r="C11" s="6" t="s">
        <v>315</v>
      </c>
    </row>
    <row r="12" spans="1:27" x14ac:dyDescent="0.25">
      <c r="A12" s="6" t="s">
        <v>30</v>
      </c>
      <c r="B12" s="6">
        <v>1</v>
      </c>
      <c r="C12" s="6" t="s">
        <v>316</v>
      </c>
    </row>
    <row r="13" spans="1:27" x14ac:dyDescent="0.25">
      <c r="A13" s="6" t="s">
        <v>31</v>
      </c>
      <c r="B13" s="6">
        <v>1</v>
      </c>
      <c r="C13" s="6" t="s">
        <v>317</v>
      </c>
    </row>
    <row r="14" spans="1:27" x14ac:dyDescent="0.25">
      <c r="A14" s="6" t="s">
        <v>32</v>
      </c>
      <c r="B14" s="6">
        <v>1</v>
      </c>
      <c r="C14" s="6" t="s">
        <v>318</v>
      </c>
    </row>
    <row r="15" spans="1:27" x14ac:dyDescent="0.25">
      <c r="A15" s="6" t="s">
        <v>33</v>
      </c>
      <c r="B15" s="6">
        <v>1</v>
      </c>
      <c r="C15" s="6" t="s">
        <v>319</v>
      </c>
    </row>
    <row r="16" spans="1:27" x14ac:dyDescent="0.25">
      <c r="A16" s="6" t="s">
        <v>34</v>
      </c>
      <c r="B16" s="6">
        <v>1</v>
      </c>
      <c r="C16" s="6" t="s">
        <v>320</v>
      </c>
    </row>
    <row r="17" spans="1:3" x14ac:dyDescent="0.25">
      <c r="A17" s="6" t="s">
        <v>35</v>
      </c>
      <c r="B17" s="6">
        <v>1</v>
      </c>
      <c r="C17" s="6" t="s">
        <v>321</v>
      </c>
    </row>
    <row r="18" spans="1:3" x14ac:dyDescent="0.25">
      <c r="A18" s="6" t="s">
        <v>36</v>
      </c>
      <c r="B18" s="6">
        <v>1</v>
      </c>
      <c r="C18" s="6" t="s">
        <v>322</v>
      </c>
    </row>
    <row r="19" spans="1:3" x14ac:dyDescent="0.25">
      <c r="A19" s="6" t="s">
        <v>37</v>
      </c>
      <c r="B19" s="6">
        <v>1</v>
      </c>
      <c r="C19" s="6" t="s">
        <v>323</v>
      </c>
    </row>
    <row r="20" spans="1:3" x14ac:dyDescent="0.25">
      <c r="A20" s="6" t="s">
        <v>38</v>
      </c>
      <c r="B20" s="6">
        <v>1</v>
      </c>
      <c r="C20" s="6" t="s">
        <v>324</v>
      </c>
    </row>
    <row r="21" spans="1:3" x14ac:dyDescent="0.25">
      <c r="A21" s="6" t="s">
        <v>39</v>
      </c>
      <c r="B21" s="6">
        <v>1</v>
      </c>
      <c r="C21" s="6" t="s">
        <v>325</v>
      </c>
    </row>
    <row r="22" spans="1:3" x14ac:dyDescent="0.25">
      <c r="A22" s="6" t="s">
        <v>40</v>
      </c>
      <c r="B22" s="6">
        <v>1</v>
      </c>
      <c r="C22" s="6" t="s">
        <v>326</v>
      </c>
    </row>
    <row r="23" spans="1:3" x14ac:dyDescent="0.25">
      <c r="A23" s="6" t="s">
        <v>41</v>
      </c>
      <c r="B23" s="6">
        <v>1</v>
      </c>
      <c r="C23" s="6" t="s">
        <v>327</v>
      </c>
    </row>
    <row r="24" spans="1:3" x14ac:dyDescent="0.25">
      <c r="A24" s="6" t="s">
        <v>42</v>
      </c>
      <c r="B24" s="6">
        <v>1</v>
      </c>
      <c r="C24" s="6" t="s">
        <v>328</v>
      </c>
    </row>
  </sheetData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D22E85-1283-4D99-947A-DDC910A377C1}">
  <dimension ref="A1:AB25"/>
  <sheetViews>
    <sheetView workbookViewId="0">
      <selection activeCell="E2" sqref="E2:AB2"/>
    </sheetView>
  </sheetViews>
  <sheetFormatPr defaultRowHeight="15" x14ac:dyDescent="0.25"/>
  <cols>
    <col min="1" max="1" width="45.28515625" bestFit="1" customWidth="1"/>
    <col min="2" max="2" width="17.7109375" bestFit="1" customWidth="1"/>
    <col min="3" max="3" width="86.28515625" bestFit="1" customWidth="1"/>
  </cols>
  <sheetData>
    <row r="1" spans="1:28" x14ac:dyDescent="0.25">
      <c r="A1" s="6" t="s">
        <v>104</v>
      </c>
      <c r="B1" s="6" t="s">
        <v>105</v>
      </c>
      <c r="C1" s="6" t="s">
        <v>70</v>
      </c>
    </row>
    <row r="2" spans="1:28" x14ac:dyDescent="0.25">
      <c r="A2" s="6" t="s">
        <v>19</v>
      </c>
      <c r="B2" s="6">
        <f>1*1/3</f>
        <v>0.33333333333333331</v>
      </c>
      <c r="C2" s="6" t="s">
        <v>282</v>
      </c>
      <c r="E2" s="6">
        <f>1*1/3</f>
        <v>0.33333333333333331</v>
      </c>
      <c r="F2" s="6">
        <f>1*1/3</f>
        <v>0.33333333333333331</v>
      </c>
      <c r="G2" s="6">
        <f>1*1/2</f>
        <v>0.5</v>
      </c>
      <c r="H2" s="6">
        <f>1*1/2</f>
        <v>0.5</v>
      </c>
      <c r="I2" s="6">
        <v>1</v>
      </c>
      <c r="J2" s="6">
        <v>1</v>
      </c>
      <c r="K2" s="6">
        <v>1</v>
      </c>
      <c r="L2" s="6">
        <v>1</v>
      </c>
      <c r="M2" s="6">
        <v>1</v>
      </c>
      <c r="N2" s="6">
        <v>1</v>
      </c>
      <c r="O2" s="6">
        <v>1</v>
      </c>
      <c r="P2" s="6">
        <v>1</v>
      </c>
      <c r="Q2" s="6">
        <v>1</v>
      </c>
      <c r="R2" s="6">
        <v>1</v>
      </c>
      <c r="S2" s="6">
        <v>1</v>
      </c>
      <c r="T2" s="6">
        <v>1</v>
      </c>
      <c r="U2" s="6">
        <v>1</v>
      </c>
      <c r="V2" s="6">
        <f>1*1/2</f>
        <v>0.5</v>
      </c>
      <c r="W2" s="6">
        <f>1*1/2</f>
        <v>0.5</v>
      </c>
      <c r="X2" s="6">
        <v>1</v>
      </c>
      <c r="Y2" s="6">
        <v>1</v>
      </c>
      <c r="Z2" s="6">
        <v>1</v>
      </c>
      <c r="AA2" s="6">
        <v>1</v>
      </c>
      <c r="AB2" s="6">
        <v>1</v>
      </c>
    </row>
    <row r="3" spans="1:28" x14ac:dyDescent="0.25">
      <c r="A3" s="6" t="s">
        <v>20</v>
      </c>
      <c r="B3" s="6">
        <f>1*1/3</f>
        <v>0.33333333333333331</v>
      </c>
      <c r="C3" s="6" t="s">
        <v>283</v>
      </c>
    </row>
    <row r="4" spans="1:28" x14ac:dyDescent="0.25">
      <c r="A4" s="6" t="s">
        <v>21</v>
      </c>
      <c r="B4" s="6">
        <f>1*1/2</f>
        <v>0.5</v>
      </c>
      <c r="C4" s="6" t="s">
        <v>284</v>
      </c>
    </row>
    <row r="5" spans="1:28" x14ac:dyDescent="0.25">
      <c r="A5" s="6" t="s">
        <v>22</v>
      </c>
      <c r="B5" s="6">
        <f>1*1/2</f>
        <v>0.5</v>
      </c>
      <c r="C5" s="6" t="s">
        <v>285</v>
      </c>
    </row>
    <row r="6" spans="1:28" x14ac:dyDescent="0.25">
      <c r="A6" s="6" t="s">
        <v>23</v>
      </c>
      <c r="B6" s="6">
        <v>1</v>
      </c>
      <c r="C6" s="6" t="s">
        <v>286</v>
      </c>
    </row>
    <row r="7" spans="1:28" x14ac:dyDescent="0.25">
      <c r="A7" s="6" t="s">
        <v>24</v>
      </c>
      <c r="B7" s="6">
        <v>1</v>
      </c>
      <c r="C7" s="6" t="s">
        <v>287</v>
      </c>
    </row>
    <row r="8" spans="1:28" x14ac:dyDescent="0.25">
      <c r="A8" s="6" t="s">
        <v>25</v>
      </c>
      <c r="B8" s="6">
        <v>1</v>
      </c>
      <c r="C8" s="6" t="s">
        <v>288</v>
      </c>
    </row>
    <row r="9" spans="1:28" x14ac:dyDescent="0.25">
      <c r="A9" s="6" t="s">
        <v>26</v>
      </c>
      <c r="B9" s="6">
        <v>1</v>
      </c>
      <c r="C9" s="6" t="s">
        <v>289</v>
      </c>
    </row>
    <row r="10" spans="1:28" x14ac:dyDescent="0.25">
      <c r="A10" s="6" t="s">
        <v>27</v>
      </c>
      <c r="B10" s="6">
        <v>1</v>
      </c>
      <c r="C10" s="6" t="s">
        <v>290</v>
      </c>
    </row>
    <row r="11" spans="1:28" x14ac:dyDescent="0.25">
      <c r="A11" s="6" t="s">
        <v>28</v>
      </c>
      <c r="B11" s="6">
        <v>1</v>
      </c>
      <c r="C11" s="6" t="s">
        <v>291</v>
      </c>
    </row>
    <row r="12" spans="1:28" x14ac:dyDescent="0.25">
      <c r="A12" s="6" t="s">
        <v>29</v>
      </c>
      <c r="B12" s="6">
        <v>1</v>
      </c>
      <c r="C12" s="6" t="s">
        <v>292</v>
      </c>
    </row>
    <row r="13" spans="1:28" x14ac:dyDescent="0.25">
      <c r="A13" s="6" t="s">
        <v>30</v>
      </c>
      <c r="B13" s="6">
        <v>1</v>
      </c>
      <c r="C13" s="6" t="s">
        <v>293</v>
      </c>
    </row>
    <row r="14" spans="1:28" x14ac:dyDescent="0.25">
      <c r="A14" s="6" t="s">
        <v>31</v>
      </c>
      <c r="B14" s="6">
        <v>1</v>
      </c>
      <c r="C14" s="6" t="s">
        <v>294</v>
      </c>
    </row>
    <row r="15" spans="1:28" x14ac:dyDescent="0.25">
      <c r="A15" s="6" t="s">
        <v>32</v>
      </c>
      <c r="B15" s="6">
        <v>1</v>
      </c>
      <c r="C15" s="6" t="s">
        <v>295</v>
      </c>
    </row>
    <row r="16" spans="1:28" x14ac:dyDescent="0.25">
      <c r="A16" s="6" t="s">
        <v>33</v>
      </c>
      <c r="B16" s="6">
        <v>1</v>
      </c>
      <c r="C16" s="6" t="s">
        <v>296</v>
      </c>
    </row>
    <row r="17" spans="1:3" x14ac:dyDescent="0.25">
      <c r="A17" s="6" t="s">
        <v>34</v>
      </c>
      <c r="B17" s="6">
        <v>1</v>
      </c>
      <c r="C17" s="6" t="s">
        <v>297</v>
      </c>
    </row>
    <row r="18" spans="1:3" x14ac:dyDescent="0.25">
      <c r="A18" s="6" t="s">
        <v>35</v>
      </c>
      <c r="B18" s="6">
        <v>1</v>
      </c>
      <c r="C18" s="6" t="s">
        <v>298</v>
      </c>
    </row>
    <row r="19" spans="1:3" x14ac:dyDescent="0.25">
      <c r="A19" s="6" t="s">
        <v>36</v>
      </c>
      <c r="B19" s="6">
        <f>1*1/2</f>
        <v>0.5</v>
      </c>
      <c r="C19" s="6" t="s">
        <v>299</v>
      </c>
    </row>
    <row r="20" spans="1:3" x14ac:dyDescent="0.25">
      <c r="A20" s="6" t="s">
        <v>37</v>
      </c>
      <c r="B20" s="6">
        <f>1*1/2</f>
        <v>0.5</v>
      </c>
      <c r="C20" s="6" t="s">
        <v>300</v>
      </c>
    </row>
    <row r="21" spans="1:3" x14ac:dyDescent="0.25">
      <c r="A21" s="6" t="s">
        <v>38</v>
      </c>
      <c r="B21" s="6">
        <v>1</v>
      </c>
      <c r="C21" s="6" t="s">
        <v>301</v>
      </c>
    </row>
    <row r="22" spans="1:3" x14ac:dyDescent="0.25">
      <c r="A22" s="6" t="s">
        <v>39</v>
      </c>
      <c r="B22" s="6">
        <v>1</v>
      </c>
      <c r="C22" s="6" t="s">
        <v>302</v>
      </c>
    </row>
    <row r="23" spans="1:3" x14ac:dyDescent="0.25">
      <c r="A23" s="6" t="s">
        <v>40</v>
      </c>
      <c r="B23" s="6">
        <v>1</v>
      </c>
      <c r="C23" s="6" t="s">
        <v>303</v>
      </c>
    </row>
    <row r="24" spans="1:3" x14ac:dyDescent="0.25">
      <c r="A24" s="6" t="s">
        <v>41</v>
      </c>
      <c r="B24" s="6">
        <v>1</v>
      </c>
      <c r="C24" s="6" t="s">
        <v>304</v>
      </c>
    </row>
    <row r="25" spans="1:3" x14ac:dyDescent="0.25">
      <c r="A25" s="6" t="s">
        <v>42</v>
      </c>
      <c r="B25" s="6">
        <v>1</v>
      </c>
      <c r="C25" s="6" t="s">
        <v>305</v>
      </c>
    </row>
  </sheetData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3BE617-3DD9-4CC0-BDD8-7C7BCF077993}">
  <dimension ref="A1:AC26"/>
  <sheetViews>
    <sheetView workbookViewId="0">
      <selection activeCell="E3" sqref="E3:AC3"/>
    </sheetView>
  </sheetViews>
  <sheetFormatPr defaultRowHeight="15" x14ac:dyDescent="0.25"/>
  <cols>
    <col min="1" max="1" width="45.28515625" bestFit="1" customWidth="1"/>
    <col min="2" max="2" width="17.7109375" bestFit="1" customWidth="1"/>
    <col min="3" max="3" width="93.42578125" bestFit="1" customWidth="1"/>
  </cols>
  <sheetData>
    <row r="1" spans="1:29" x14ac:dyDescent="0.25">
      <c r="A1" s="6" t="s">
        <v>104</v>
      </c>
      <c r="B1" s="6" t="s">
        <v>105</v>
      </c>
      <c r="C1" s="6" t="s">
        <v>70</v>
      </c>
    </row>
    <row r="2" spans="1:29" x14ac:dyDescent="0.25">
      <c r="A2" s="6" t="s">
        <v>18</v>
      </c>
      <c r="B2" s="6">
        <f>1*1/2</f>
        <v>0.5</v>
      </c>
      <c r="C2" s="6" t="s">
        <v>257</v>
      </c>
    </row>
    <row r="3" spans="1:29" x14ac:dyDescent="0.25">
      <c r="A3" s="6" t="s">
        <v>19</v>
      </c>
      <c r="B3" s="6">
        <f>1*1/3</f>
        <v>0.33333333333333331</v>
      </c>
      <c r="C3" s="6" t="s">
        <v>258</v>
      </c>
      <c r="E3" s="6">
        <f>1*1/2</f>
        <v>0.5</v>
      </c>
      <c r="F3" s="6">
        <f>1*1/3</f>
        <v>0.33333333333333331</v>
      </c>
      <c r="G3" s="6">
        <f>1*1/3</f>
        <v>0.33333333333333331</v>
      </c>
      <c r="H3" s="6">
        <f>1*1/2</f>
        <v>0.5</v>
      </c>
      <c r="I3" s="6">
        <f>1*1/2</f>
        <v>0.5</v>
      </c>
      <c r="J3" s="6">
        <v>1</v>
      </c>
      <c r="K3" s="6">
        <v>1</v>
      </c>
      <c r="L3" s="6">
        <v>1</v>
      </c>
      <c r="M3" s="6">
        <v>1</v>
      </c>
      <c r="N3" s="6">
        <v>1</v>
      </c>
      <c r="O3" s="6">
        <v>1</v>
      </c>
      <c r="P3" s="6">
        <v>1</v>
      </c>
      <c r="Q3" s="6">
        <v>1</v>
      </c>
      <c r="R3" s="6">
        <v>1</v>
      </c>
      <c r="S3" s="6">
        <v>1</v>
      </c>
      <c r="T3" s="6">
        <v>1</v>
      </c>
      <c r="U3" s="6">
        <v>1</v>
      </c>
      <c r="V3" s="6">
        <v>1</v>
      </c>
      <c r="W3" s="6">
        <f>1*1/2</f>
        <v>0.5</v>
      </c>
      <c r="X3" s="6">
        <f>1*1/2</f>
        <v>0.5</v>
      </c>
      <c r="Y3" s="6">
        <v>1</v>
      </c>
      <c r="Z3" s="6">
        <v>1</v>
      </c>
      <c r="AA3" s="6">
        <v>1</v>
      </c>
      <c r="AB3" s="6">
        <v>1</v>
      </c>
      <c r="AC3" s="6">
        <f>1*1/2</f>
        <v>0.5</v>
      </c>
    </row>
    <row r="4" spans="1:29" x14ac:dyDescent="0.25">
      <c r="A4" s="6" t="s">
        <v>20</v>
      </c>
      <c r="B4" s="6">
        <f>1*1/3</f>
        <v>0.33333333333333331</v>
      </c>
      <c r="C4" s="6" t="s">
        <v>259</v>
      </c>
    </row>
    <row r="5" spans="1:29" x14ac:dyDescent="0.25">
      <c r="A5" s="6" t="s">
        <v>21</v>
      </c>
      <c r="B5" s="6">
        <f>1*1/2</f>
        <v>0.5</v>
      </c>
      <c r="C5" s="6" t="s">
        <v>260</v>
      </c>
    </row>
    <row r="6" spans="1:29" x14ac:dyDescent="0.25">
      <c r="A6" s="6" t="s">
        <v>22</v>
      </c>
      <c r="B6" s="6">
        <f>1*1/2</f>
        <v>0.5</v>
      </c>
      <c r="C6" s="6" t="s">
        <v>261</v>
      </c>
    </row>
    <row r="7" spans="1:29" x14ac:dyDescent="0.25">
      <c r="A7" s="6" t="s">
        <v>23</v>
      </c>
      <c r="B7" s="6">
        <v>1</v>
      </c>
      <c r="C7" s="6" t="s">
        <v>262</v>
      </c>
    </row>
    <row r="8" spans="1:29" x14ac:dyDescent="0.25">
      <c r="A8" s="6" t="s">
        <v>24</v>
      </c>
      <c r="B8" s="6">
        <v>1</v>
      </c>
      <c r="C8" s="6" t="s">
        <v>263</v>
      </c>
    </row>
    <row r="9" spans="1:29" x14ac:dyDescent="0.25">
      <c r="A9" s="6" t="s">
        <v>25</v>
      </c>
      <c r="B9" s="6">
        <v>1</v>
      </c>
      <c r="C9" s="6" t="s">
        <v>264</v>
      </c>
    </row>
    <row r="10" spans="1:29" x14ac:dyDescent="0.25">
      <c r="A10" s="6" t="s">
        <v>26</v>
      </c>
      <c r="B10" s="6">
        <v>1</v>
      </c>
      <c r="C10" s="6" t="s">
        <v>265</v>
      </c>
    </row>
    <row r="11" spans="1:29" x14ac:dyDescent="0.25">
      <c r="A11" s="6" t="s">
        <v>27</v>
      </c>
      <c r="B11" s="6">
        <v>1</v>
      </c>
      <c r="C11" s="6" t="s">
        <v>266</v>
      </c>
    </row>
    <row r="12" spans="1:29" x14ac:dyDescent="0.25">
      <c r="A12" s="6" t="s">
        <v>28</v>
      </c>
      <c r="B12" s="6">
        <v>1</v>
      </c>
      <c r="C12" s="6" t="s">
        <v>267</v>
      </c>
    </row>
    <row r="13" spans="1:29" x14ac:dyDescent="0.25">
      <c r="A13" s="6" t="s">
        <v>29</v>
      </c>
      <c r="B13" s="6">
        <v>1</v>
      </c>
      <c r="C13" s="6" t="s">
        <v>268</v>
      </c>
    </row>
    <row r="14" spans="1:29" x14ac:dyDescent="0.25">
      <c r="A14" s="6" t="s">
        <v>30</v>
      </c>
      <c r="B14" s="6">
        <v>1</v>
      </c>
      <c r="C14" s="6" t="s">
        <v>269</v>
      </c>
    </row>
    <row r="15" spans="1:29" x14ac:dyDescent="0.25">
      <c r="A15" s="6" t="s">
        <v>31</v>
      </c>
      <c r="B15" s="6">
        <v>1</v>
      </c>
      <c r="C15" s="6" t="s">
        <v>270</v>
      </c>
    </row>
    <row r="16" spans="1:29" x14ac:dyDescent="0.25">
      <c r="A16" s="6" t="s">
        <v>32</v>
      </c>
      <c r="B16" s="6">
        <v>1</v>
      </c>
      <c r="C16" s="6" t="s">
        <v>271</v>
      </c>
    </row>
    <row r="17" spans="1:3" x14ac:dyDescent="0.25">
      <c r="A17" s="6" t="s">
        <v>33</v>
      </c>
      <c r="B17" s="6">
        <v>1</v>
      </c>
      <c r="C17" s="6" t="s">
        <v>272</v>
      </c>
    </row>
    <row r="18" spans="1:3" x14ac:dyDescent="0.25">
      <c r="A18" s="6" t="s">
        <v>34</v>
      </c>
      <c r="B18" s="6">
        <v>1</v>
      </c>
      <c r="C18" s="6" t="s">
        <v>273</v>
      </c>
    </row>
    <row r="19" spans="1:3" x14ac:dyDescent="0.25">
      <c r="A19" s="6" t="s">
        <v>35</v>
      </c>
      <c r="B19" s="6">
        <v>1</v>
      </c>
      <c r="C19" s="6" t="s">
        <v>274</v>
      </c>
    </row>
    <row r="20" spans="1:3" x14ac:dyDescent="0.25">
      <c r="A20" s="6" t="s">
        <v>36</v>
      </c>
      <c r="B20" s="6">
        <f>1*1/2</f>
        <v>0.5</v>
      </c>
      <c r="C20" s="6" t="s">
        <v>275</v>
      </c>
    </row>
    <row r="21" spans="1:3" x14ac:dyDescent="0.25">
      <c r="A21" s="6" t="s">
        <v>37</v>
      </c>
      <c r="B21" s="6">
        <f>1*1/2</f>
        <v>0.5</v>
      </c>
      <c r="C21" s="6" t="s">
        <v>276</v>
      </c>
    </row>
    <row r="22" spans="1:3" x14ac:dyDescent="0.25">
      <c r="A22" s="6" t="s">
        <v>38</v>
      </c>
      <c r="B22" s="6">
        <v>1</v>
      </c>
      <c r="C22" s="6" t="s">
        <v>277</v>
      </c>
    </row>
    <row r="23" spans="1:3" x14ac:dyDescent="0.25">
      <c r="A23" s="6" t="s">
        <v>39</v>
      </c>
      <c r="B23" s="6">
        <v>1</v>
      </c>
      <c r="C23" s="6" t="s">
        <v>278</v>
      </c>
    </row>
    <row r="24" spans="1:3" x14ac:dyDescent="0.25">
      <c r="A24" s="6" t="s">
        <v>40</v>
      </c>
      <c r="B24" s="6">
        <v>1</v>
      </c>
      <c r="C24" s="6" t="s">
        <v>279</v>
      </c>
    </row>
    <row r="25" spans="1:3" x14ac:dyDescent="0.25">
      <c r="A25" s="6" t="s">
        <v>41</v>
      </c>
      <c r="B25" s="6">
        <v>1</v>
      </c>
      <c r="C25" s="6" t="s">
        <v>280</v>
      </c>
    </row>
    <row r="26" spans="1:3" x14ac:dyDescent="0.25">
      <c r="A26" s="6" t="s">
        <v>42</v>
      </c>
      <c r="B26" s="6">
        <f>1*1/2</f>
        <v>0.5</v>
      </c>
      <c r="C26" s="6" t="s">
        <v>281</v>
      </c>
    </row>
  </sheetData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D18B13-B622-41E7-B8F1-4BC4358592B2}">
  <dimension ref="A1:AD27"/>
  <sheetViews>
    <sheetView workbookViewId="0">
      <selection activeCell="E3" sqref="E3:AD3"/>
    </sheetView>
  </sheetViews>
  <sheetFormatPr defaultRowHeight="15" x14ac:dyDescent="0.25"/>
  <cols>
    <col min="1" max="1" width="45.28515625" bestFit="1" customWidth="1"/>
    <col min="2" max="2" width="17.7109375" bestFit="1" customWidth="1"/>
    <col min="3" max="3" width="65.28515625" bestFit="1" customWidth="1"/>
  </cols>
  <sheetData>
    <row r="1" spans="1:30" x14ac:dyDescent="0.25">
      <c r="A1" s="6" t="s">
        <v>104</v>
      </c>
      <c r="B1" s="6" t="s">
        <v>105</v>
      </c>
      <c r="C1" s="6" t="s">
        <v>70</v>
      </c>
    </row>
    <row r="2" spans="1:30" x14ac:dyDescent="0.25">
      <c r="A2" s="6" t="s">
        <v>17</v>
      </c>
      <c r="B2" s="6">
        <v>5</v>
      </c>
      <c r="C2" s="6" t="s">
        <v>231</v>
      </c>
    </row>
    <row r="3" spans="1:30" x14ac:dyDescent="0.25">
      <c r="A3" s="6" t="s">
        <v>18</v>
      </c>
      <c r="B3" s="6">
        <v>3</v>
      </c>
      <c r="C3" s="6" t="s">
        <v>232</v>
      </c>
      <c r="E3" s="6">
        <v>5</v>
      </c>
      <c r="F3" s="6">
        <v>3</v>
      </c>
      <c r="G3" s="6">
        <v>1</v>
      </c>
      <c r="H3" s="6">
        <v>1</v>
      </c>
      <c r="I3" s="6">
        <v>2</v>
      </c>
      <c r="J3" s="6">
        <v>1</v>
      </c>
      <c r="K3" s="6">
        <f>1*1/3</f>
        <v>0.33333333333333331</v>
      </c>
      <c r="L3" s="6">
        <f>1*1/3</f>
        <v>0.33333333333333331</v>
      </c>
      <c r="M3" s="6">
        <f>1*1/2</f>
        <v>0.5</v>
      </c>
      <c r="N3" s="6">
        <f>1*1/2</f>
        <v>0.5</v>
      </c>
      <c r="O3" s="6">
        <v>1</v>
      </c>
      <c r="P3" s="6">
        <v>1</v>
      </c>
      <c r="Q3" s="6">
        <v>1</v>
      </c>
      <c r="R3" s="6">
        <v>1</v>
      </c>
      <c r="S3" s="6">
        <v>1</v>
      </c>
      <c r="T3" s="6">
        <v>1</v>
      </c>
      <c r="U3" s="6">
        <v>1</v>
      </c>
      <c r="V3" s="6">
        <v>1</v>
      </c>
      <c r="W3" s="6">
        <v>1</v>
      </c>
      <c r="X3" s="6">
        <v>1</v>
      </c>
      <c r="Y3" s="6">
        <v>1</v>
      </c>
      <c r="Z3" s="6">
        <v>1</v>
      </c>
      <c r="AA3" s="6">
        <v>2</v>
      </c>
      <c r="AB3" s="6">
        <v>3</v>
      </c>
      <c r="AC3" s="6">
        <v>1</v>
      </c>
      <c r="AD3" s="6">
        <v>3</v>
      </c>
    </row>
    <row r="4" spans="1:30" x14ac:dyDescent="0.25">
      <c r="A4" s="6" t="s">
        <v>19</v>
      </c>
      <c r="B4" s="6">
        <v>1</v>
      </c>
      <c r="C4" s="6" t="s">
        <v>233</v>
      </c>
    </row>
    <row r="5" spans="1:30" x14ac:dyDescent="0.25">
      <c r="A5" s="6" t="s">
        <v>20</v>
      </c>
      <c r="B5" s="6">
        <v>1</v>
      </c>
      <c r="C5" s="6" t="s">
        <v>234</v>
      </c>
    </row>
    <row r="6" spans="1:30" x14ac:dyDescent="0.25">
      <c r="A6" s="6" t="s">
        <v>21</v>
      </c>
      <c r="B6" s="6">
        <v>2</v>
      </c>
      <c r="C6" s="6" t="s">
        <v>235</v>
      </c>
    </row>
    <row r="7" spans="1:30" x14ac:dyDescent="0.25">
      <c r="A7" s="6" t="s">
        <v>22</v>
      </c>
      <c r="B7" s="6">
        <v>1</v>
      </c>
      <c r="C7" s="6" t="s">
        <v>236</v>
      </c>
    </row>
    <row r="8" spans="1:30" x14ac:dyDescent="0.25">
      <c r="A8" s="6" t="s">
        <v>23</v>
      </c>
      <c r="B8" s="6">
        <f>1*1/3</f>
        <v>0.33333333333333331</v>
      </c>
      <c r="C8" s="6" t="s">
        <v>237</v>
      </c>
    </row>
    <row r="9" spans="1:30" x14ac:dyDescent="0.25">
      <c r="A9" s="6" t="s">
        <v>24</v>
      </c>
      <c r="B9" s="6">
        <f>1*1/3</f>
        <v>0.33333333333333331</v>
      </c>
      <c r="C9" s="6" t="s">
        <v>238</v>
      </c>
    </row>
    <row r="10" spans="1:30" x14ac:dyDescent="0.25">
      <c r="A10" s="6" t="s">
        <v>25</v>
      </c>
      <c r="B10" s="6">
        <f>1*1/2</f>
        <v>0.5</v>
      </c>
      <c r="C10" s="6" t="s">
        <v>239</v>
      </c>
    </row>
    <row r="11" spans="1:30" x14ac:dyDescent="0.25">
      <c r="A11" s="6" t="s">
        <v>26</v>
      </c>
      <c r="B11" s="6">
        <f>1*1/2</f>
        <v>0.5</v>
      </c>
      <c r="C11" s="6" t="s">
        <v>240</v>
      </c>
    </row>
    <row r="12" spans="1:30" x14ac:dyDescent="0.25">
      <c r="A12" s="6" t="s">
        <v>27</v>
      </c>
      <c r="B12" s="6">
        <v>1</v>
      </c>
      <c r="C12" s="6" t="s">
        <v>241</v>
      </c>
    </row>
    <row r="13" spans="1:30" x14ac:dyDescent="0.25">
      <c r="A13" s="6" t="s">
        <v>28</v>
      </c>
      <c r="B13" s="6">
        <v>1</v>
      </c>
      <c r="C13" s="6" t="s">
        <v>242</v>
      </c>
    </row>
    <row r="14" spans="1:30" x14ac:dyDescent="0.25">
      <c r="A14" s="6" t="s">
        <v>29</v>
      </c>
      <c r="B14" s="6">
        <v>1</v>
      </c>
      <c r="C14" s="6" t="s">
        <v>243</v>
      </c>
    </row>
    <row r="15" spans="1:30" x14ac:dyDescent="0.25">
      <c r="A15" s="6" t="s">
        <v>30</v>
      </c>
      <c r="B15" s="6">
        <v>1</v>
      </c>
      <c r="C15" s="6" t="s">
        <v>244</v>
      </c>
    </row>
    <row r="16" spans="1:30" x14ac:dyDescent="0.25">
      <c r="A16" s="6" t="s">
        <v>31</v>
      </c>
      <c r="B16" s="6">
        <v>1</v>
      </c>
      <c r="C16" s="6" t="s">
        <v>245</v>
      </c>
    </row>
    <row r="17" spans="1:3" x14ac:dyDescent="0.25">
      <c r="A17" s="6" t="s">
        <v>32</v>
      </c>
      <c r="B17" s="6">
        <v>1</v>
      </c>
      <c r="C17" s="6" t="s">
        <v>246</v>
      </c>
    </row>
    <row r="18" spans="1:3" x14ac:dyDescent="0.25">
      <c r="A18" s="6" t="s">
        <v>33</v>
      </c>
      <c r="B18" s="6">
        <v>1</v>
      </c>
      <c r="C18" s="6" t="s">
        <v>247</v>
      </c>
    </row>
    <row r="19" spans="1:3" x14ac:dyDescent="0.25">
      <c r="A19" s="6" t="s">
        <v>34</v>
      </c>
      <c r="B19" s="6">
        <v>1</v>
      </c>
      <c r="C19" s="6" t="s">
        <v>248</v>
      </c>
    </row>
    <row r="20" spans="1:3" x14ac:dyDescent="0.25">
      <c r="A20" s="6" t="s">
        <v>35</v>
      </c>
      <c r="B20" s="6">
        <v>1</v>
      </c>
      <c r="C20" s="6" t="s">
        <v>249</v>
      </c>
    </row>
    <row r="21" spans="1:3" x14ac:dyDescent="0.25">
      <c r="A21" s="6" t="s">
        <v>36</v>
      </c>
      <c r="B21" s="6">
        <v>1</v>
      </c>
      <c r="C21" s="6" t="s">
        <v>250</v>
      </c>
    </row>
    <row r="22" spans="1:3" x14ac:dyDescent="0.25">
      <c r="A22" s="6" t="s">
        <v>37</v>
      </c>
      <c r="B22" s="6">
        <v>1</v>
      </c>
      <c r="C22" s="6" t="s">
        <v>251</v>
      </c>
    </row>
    <row r="23" spans="1:3" x14ac:dyDescent="0.25">
      <c r="A23" s="6" t="s">
        <v>38</v>
      </c>
      <c r="B23" s="6">
        <v>1</v>
      </c>
      <c r="C23" s="6" t="s">
        <v>252</v>
      </c>
    </row>
    <row r="24" spans="1:3" x14ac:dyDescent="0.25">
      <c r="A24" s="6" t="s">
        <v>39</v>
      </c>
      <c r="B24" s="6">
        <v>2</v>
      </c>
      <c r="C24" s="6" t="s">
        <v>253</v>
      </c>
    </row>
    <row r="25" spans="1:3" x14ac:dyDescent="0.25">
      <c r="A25" s="6" t="s">
        <v>40</v>
      </c>
      <c r="B25" s="6">
        <v>3</v>
      </c>
      <c r="C25" s="6" t="s">
        <v>254</v>
      </c>
    </row>
    <row r="26" spans="1:3" x14ac:dyDescent="0.25">
      <c r="A26" s="6" t="s">
        <v>41</v>
      </c>
      <c r="B26" s="6">
        <v>1</v>
      </c>
      <c r="C26" s="6" t="s">
        <v>255</v>
      </c>
    </row>
    <row r="27" spans="1:3" x14ac:dyDescent="0.25">
      <c r="A27" s="6" t="s">
        <v>42</v>
      </c>
      <c r="B27" s="6">
        <v>3</v>
      </c>
      <c r="C27" s="6" t="s">
        <v>256</v>
      </c>
    </row>
  </sheetData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F1F56C-8CFA-4B12-A3B6-EA3C355260F7}">
  <dimension ref="A1:C32"/>
  <sheetViews>
    <sheetView workbookViewId="0">
      <selection activeCell="C37" sqref="C37"/>
    </sheetView>
  </sheetViews>
  <sheetFormatPr defaultRowHeight="15" x14ac:dyDescent="0.25"/>
  <cols>
    <col min="1" max="1" width="45.28515625" bestFit="1" customWidth="1"/>
    <col min="2" max="2" width="17.7109375" bestFit="1" customWidth="1"/>
    <col min="3" max="3" width="93.140625" bestFit="1" customWidth="1"/>
  </cols>
  <sheetData>
    <row r="1" spans="1:3" x14ac:dyDescent="0.25">
      <c r="A1" s="18" t="s">
        <v>104</v>
      </c>
      <c r="B1" s="18" t="s">
        <v>137</v>
      </c>
      <c r="C1" s="18" t="s">
        <v>70</v>
      </c>
    </row>
    <row r="2" spans="1:3" x14ac:dyDescent="0.25">
      <c r="A2" s="25" t="s">
        <v>12</v>
      </c>
      <c r="B2" s="25">
        <v>1</v>
      </c>
      <c r="C2" s="25" t="s">
        <v>106</v>
      </c>
    </row>
    <row r="3" spans="1:3" x14ac:dyDescent="0.25">
      <c r="A3" s="25" t="s">
        <v>13</v>
      </c>
      <c r="B3" s="25">
        <v>3</v>
      </c>
      <c r="C3" s="25" t="s">
        <v>107</v>
      </c>
    </row>
    <row r="4" spans="1:3" x14ac:dyDescent="0.25">
      <c r="A4" s="25" t="s">
        <v>14</v>
      </c>
      <c r="B4" s="25">
        <v>3</v>
      </c>
      <c r="C4" s="25" t="s">
        <v>108</v>
      </c>
    </row>
    <row r="5" spans="1:3" x14ac:dyDescent="0.25">
      <c r="A5" s="25" t="s">
        <v>15</v>
      </c>
      <c r="B5" s="25">
        <f>1/3</f>
        <v>0.33333333333333331</v>
      </c>
      <c r="C5" s="25" t="s">
        <v>109</v>
      </c>
    </row>
    <row r="6" spans="1:3" x14ac:dyDescent="0.25">
      <c r="A6" s="25" t="s">
        <v>16</v>
      </c>
      <c r="B6" s="25">
        <f>1/3</f>
        <v>0.33333333333333331</v>
      </c>
      <c r="C6" s="25" t="s">
        <v>110</v>
      </c>
    </row>
    <row r="7" spans="1:3" x14ac:dyDescent="0.25">
      <c r="A7" s="25" t="s">
        <v>17</v>
      </c>
      <c r="B7" s="25">
        <f>1/5</f>
        <v>0.2</v>
      </c>
      <c r="C7" s="25" t="s">
        <v>111</v>
      </c>
    </row>
    <row r="8" spans="1:3" x14ac:dyDescent="0.25">
      <c r="A8" s="25" t="s">
        <v>18</v>
      </c>
      <c r="B8" s="25">
        <v>2</v>
      </c>
      <c r="C8" s="25" t="s">
        <v>112</v>
      </c>
    </row>
    <row r="9" spans="1:3" x14ac:dyDescent="0.25">
      <c r="A9" s="25" t="s">
        <v>19</v>
      </c>
      <c r="B9" s="25">
        <v>1</v>
      </c>
      <c r="C9" s="25" t="s">
        <v>113</v>
      </c>
    </row>
    <row r="10" spans="1:3" x14ac:dyDescent="0.25">
      <c r="A10" s="25" t="s">
        <v>20</v>
      </c>
      <c r="B10" s="25">
        <v>1</v>
      </c>
      <c r="C10" s="25" t="s">
        <v>114</v>
      </c>
    </row>
    <row r="11" spans="1:3" x14ac:dyDescent="0.25">
      <c r="A11" s="25" t="s">
        <v>21</v>
      </c>
      <c r="B11" s="25">
        <f>1/3</f>
        <v>0.33333333333333331</v>
      </c>
      <c r="C11" s="25" t="s">
        <v>115</v>
      </c>
    </row>
    <row r="12" spans="1:3" x14ac:dyDescent="0.25">
      <c r="A12" s="25" t="s">
        <v>22</v>
      </c>
      <c r="B12" s="25">
        <v>0.5</v>
      </c>
      <c r="C12" s="25" t="s">
        <v>116</v>
      </c>
    </row>
    <row r="13" spans="1:3" x14ac:dyDescent="0.25">
      <c r="A13" s="25" t="s">
        <v>23</v>
      </c>
      <c r="B13" s="25">
        <v>0.33333333333333331</v>
      </c>
      <c r="C13" s="25" t="s">
        <v>117</v>
      </c>
    </row>
    <row r="14" spans="1:3" x14ac:dyDescent="0.25">
      <c r="A14" s="25" t="s">
        <v>24</v>
      </c>
      <c r="B14" s="25">
        <v>0.33333333333333331</v>
      </c>
      <c r="C14" s="25" t="s">
        <v>118</v>
      </c>
    </row>
    <row r="15" spans="1:3" x14ac:dyDescent="0.25">
      <c r="A15" s="25" t="s">
        <v>25</v>
      </c>
      <c r="B15" s="25">
        <v>0.33333333333333331</v>
      </c>
      <c r="C15" s="25" t="s">
        <v>119</v>
      </c>
    </row>
    <row r="16" spans="1:3" x14ac:dyDescent="0.25">
      <c r="A16" s="25" t="s">
        <v>26</v>
      </c>
      <c r="B16" s="25">
        <v>0.33333333333333331</v>
      </c>
      <c r="C16" s="25" t="s">
        <v>120</v>
      </c>
    </row>
    <row r="17" spans="1:3" x14ac:dyDescent="0.25">
      <c r="A17" s="25" t="s">
        <v>27</v>
      </c>
      <c r="B17" s="25">
        <v>0.5</v>
      </c>
      <c r="C17" s="25" t="s">
        <v>121</v>
      </c>
    </row>
    <row r="18" spans="1:3" x14ac:dyDescent="0.25">
      <c r="A18" s="25" t="s">
        <v>28</v>
      </c>
      <c r="B18" s="25">
        <v>0.33333333333333331</v>
      </c>
      <c r="C18" s="25" t="s">
        <v>122</v>
      </c>
    </row>
    <row r="19" spans="1:3" x14ac:dyDescent="0.25">
      <c r="A19" s="25" t="s">
        <v>29</v>
      </c>
      <c r="B19" s="25">
        <v>0.33333333333333331</v>
      </c>
      <c r="C19" s="25" t="s">
        <v>123</v>
      </c>
    </row>
    <row r="20" spans="1:3" x14ac:dyDescent="0.25">
      <c r="A20" s="25" t="s">
        <v>30</v>
      </c>
      <c r="B20" s="25">
        <v>1</v>
      </c>
      <c r="C20" s="25" t="s">
        <v>124</v>
      </c>
    </row>
    <row r="21" spans="1:3" x14ac:dyDescent="0.25">
      <c r="A21" s="25" t="s">
        <v>31</v>
      </c>
      <c r="B21" s="25">
        <v>1</v>
      </c>
      <c r="C21" s="25" t="s">
        <v>125</v>
      </c>
    </row>
    <row r="22" spans="1:3" x14ac:dyDescent="0.25">
      <c r="A22" s="25" t="s">
        <v>32</v>
      </c>
      <c r="B22" s="25">
        <v>0.5</v>
      </c>
      <c r="C22" s="25" t="s">
        <v>126</v>
      </c>
    </row>
    <row r="23" spans="1:3" x14ac:dyDescent="0.25">
      <c r="A23" s="25" t="s">
        <v>33</v>
      </c>
      <c r="B23" s="25">
        <v>0.5</v>
      </c>
      <c r="C23" s="25" t="s">
        <v>127</v>
      </c>
    </row>
    <row r="24" spans="1:3" x14ac:dyDescent="0.25">
      <c r="A24" s="25" t="s">
        <v>34</v>
      </c>
      <c r="B24" s="25">
        <v>0.5</v>
      </c>
      <c r="C24" s="25" t="s">
        <v>128</v>
      </c>
    </row>
    <row r="25" spans="1:3" x14ac:dyDescent="0.25">
      <c r="A25" s="25" t="s">
        <v>35</v>
      </c>
      <c r="B25" s="25">
        <v>0.33333333333333331</v>
      </c>
      <c r="C25" s="25" t="s">
        <v>129</v>
      </c>
    </row>
    <row r="26" spans="1:3" x14ac:dyDescent="0.25">
      <c r="A26" s="25" t="s">
        <v>36</v>
      </c>
      <c r="B26" s="25">
        <v>1</v>
      </c>
      <c r="C26" s="25" t="s">
        <v>130</v>
      </c>
    </row>
    <row r="27" spans="1:3" x14ac:dyDescent="0.25">
      <c r="A27" s="25" t="s">
        <v>37</v>
      </c>
      <c r="B27" s="25">
        <v>1</v>
      </c>
      <c r="C27" s="25" t="s">
        <v>131</v>
      </c>
    </row>
    <row r="28" spans="1:3" x14ac:dyDescent="0.25">
      <c r="A28" s="25" t="s">
        <v>38</v>
      </c>
      <c r="B28" s="25">
        <v>3</v>
      </c>
      <c r="C28" s="25" t="s">
        <v>132</v>
      </c>
    </row>
    <row r="29" spans="1:3" x14ac:dyDescent="0.25">
      <c r="A29" s="25" t="s">
        <v>39</v>
      </c>
      <c r="B29" s="25">
        <v>2</v>
      </c>
      <c r="C29" s="25" t="s">
        <v>133</v>
      </c>
    </row>
    <row r="30" spans="1:3" x14ac:dyDescent="0.25">
      <c r="A30" s="25" t="s">
        <v>40</v>
      </c>
      <c r="B30" s="25">
        <v>3</v>
      </c>
      <c r="C30" s="25" t="s">
        <v>134</v>
      </c>
    </row>
    <row r="31" spans="1:3" x14ac:dyDescent="0.25">
      <c r="A31" s="25" t="s">
        <v>41</v>
      </c>
      <c r="B31" s="25">
        <v>3</v>
      </c>
      <c r="C31" s="25" t="s">
        <v>135</v>
      </c>
    </row>
    <row r="32" spans="1:3" x14ac:dyDescent="0.25">
      <c r="A32" s="25" t="s">
        <v>42</v>
      </c>
      <c r="B32" s="25">
        <v>5</v>
      </c>
      <c r="C32" s="25" t="s">
        <v>136</v>
      </c>
    </row>
  </sheetData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D36C63-A121-45AD-A0DA-CAF2B4EFE628}">
  <dimension ref="A1:AG32"/>
  <sheetViews>
    <sheetView workbookViewId="0">
      <selection activeCell="C35" sqref="C35"/>
    </sheetView>
  </sheetViews>
  <sheetFormatPr defaultRowHeight="15" x14ac:dyDescent="0.25"/>
  <cols>
    <col min="1" max="1" width="45.28515625" bestFit="1" customWidth="1"/>
    <col min="2" max="2" width="17.7109375" bestFit="1" customWidth="1"/>
    <col min="3" max="3" width="73.7109375" bestFit="1" customWidth="1"/>
  </cols>
  <sheetData>
    <row r="1" spans="1:33" x14ac:dyDescent="0.25">
      <c r="A1" s="18" t="s">
        <v>104</v>
      </c>
      <c r="B1" s="18" t="s">
        <v>105</v>
      </c>
      <c r="C1" s="18" t="s">
        <v>70</v>
      </c>
    </row>
    <row r="2" spans="1:33" x14ac:dyDescent="0.25">
      <c r="A2" s="6" t="s">
        <v>12</v>
      </c>
      <c r="B2" s="6">
        <f>1*1/3</f>
        <v>0.33333333333333331</v>
      </c>
      <c r="C2" s="6" t="s">
        <v>139</v>
      </c>
      <c r="E2" s="6">
        <f>1*1/2</f>
        <v>0.5</v>
      </c>
      <c r="F2" s="6">
        <v>1</v>
      </c>
      <c r="G2" s="6">
        <v>1</v>
      </c>
      <c r="H2" s="6">
        <v>3</v>
      </c>
      <c r="I2" s="6">
        <v>3</v>
      </c>
      <c r="J2" s="6">
        <f>1*1/2</f>
        <v>0.5</v>
      </c>
      <c r="K2" s="6">
        <f>1*1/2</f>
        <v>0.5</v>
      </c>
      <c r="L2" s="6">
        <v>2</v>
      </c>
      <c r="M2" s="6">
        <v>1</v>
      </c>
      <c r="N2" s="6">
        <f>1*1/5</f>
        <v>0.2</v>
      </c>
      <c r="O2" s="6">
        <f>1*1/4</f>
        <v>0.25</v>
      </c>
      <c r="P2" s="6">
        <f>1*1/3</f>
        <v>0.33333333333333331</v>
      </c>
      <c r="Q2" s="6">
        <f>1*1/3</f>
        <v>0.33333333333333331</v>
      </c>
      <c r="R2" s="6">
        <f>1*1/2</f>
        <v>0.5</v>
      </c>
      <c r="S2" s="6">
        <f>1*1/3</f>
        <v>0.33333333333333331</v>
      </c>
      <c r="T2" s="6">
        <f>1*1/3</f>
        <v>0.33333333333333331</v>
      </c>
      <c r="U2" s="6">
        <f t="shared" ref="U2:Z2" si="0">1*1/2</f>
        <v>0.5</v>
      </c>
      <c r="V2" s="6">
        <f t="shared" si="0"/>
        <v>0.5</v>
      </c>
      <c r="W2" s="6">
        <f t="shared" si="0"/>
        <v>0.5</v>
      </c>
      <c r="X2" s="6">
        <f t="shared" si="0"/>
        <v>0.5</v>
      </c>
      <c r="Y2" s="6">
        <f t="shared" si="0"/>
        <v>0.5</v>
      </c>
      <c r="Z2" s="6">
        <f t="shared" si="0"/>
        <v>0.5</v>
      </c>
      <c r="AA2" s="6">
        <v>1</v>
      </c>
      <c r="AB2" s="6">
        <v>1</v>
      </c>
      <c r="AC2" s="6">
        <f>1*1/2</f>
        <v>0.5</v>
      </c>
      <c r="AD2" s="6">
        <f>1*1/2</f>
        <v>0.5</v>
      </c>
      <c r="AE2" s="6">
        <v>2</v>
      </c>
      <c r="AF2" s="6">
        <v>1</v>
      </c>
      <c r="AG2" s="6">
        <v>3</v>
      </c>
    </row>
    <row r="3" spans="1:33" x14ac:dyDescent="0.25">
      <c r="A3" s="6" t="s">
        <v>13</v>
      </c>
      <c r="B3" s="6">
        <v>1</v>
      </c>
      <c r="C3" s="6" t="s">
        <v>106</v>
      </c>
    </row>
    <row r="4" spans="1:33" x14ac:dyDescent="0.25">
      <c r="A4" s="6" t="s">
        <v>14</v>
      </c>
      <c r="B4" s="6">
        <f>1*1/2</f>
        <v>0.5</v>
      </c>
      <c r="C4" s="6" t="s">
        <v>142</v>
      </c>
    </row>
    <row r="5" spans="1:33" x14ac:dyDescent="0.25">
      <c r="A5" s="6" t="s">
        <v>15</v>
      </c>
      <c r="B5" s="6">
        <v>1</v>
      </c>
      <c r="C5" s="6" t="s">
        <v>143</v>
      </c>
    </row>
    <row r="6" spans="1:33" x14ac:dyDescent="0.25">
      <c r="A6" s="6" t="s">
        <v>16</v>
      </c>
      <c r="B6" s="6">
        <v>1</v>
      </c>
      <c r="C6" s="6" t="s">
        <v>144</v>
      </c>
    </row>
    <row r="7" spans="1:33" x14ac:dyDescent="0.25">
      <c r="A7" s="6" t="s">
        <v>17</v>
      </c>
      <c r="B7" s="6">
        <v>3</v>
      </c>
      <c r="C7" s="6" t="s">
        <v>146</v>
      </c>
    </row>
    <row r="8" spans="1:33" x14ac:dyDescent="0.25">
      <c r="A8" s="6" t="s">
        <v>18</v>
      </c>
      <c r="B8" s="6">
        <v>3</v>
      </c>
      <c r="C8" s="6" t="s">
        <v>147</v>
      </c>
    </row>
    <row r="9" spans="1:33" x14ac:dyDescent="0.25">
      <c r="A9" s="6" t="s">
        <v>19</v>
      </c>
      <c r="B9" s="6">
        <f>1*1/2</f>
        <v>0.5</v>
      </c>
      <c r="C9" s="6" t="s">
        <v>148</v>
      </c>
    </row>
    <row r="10" spans="1:33" x14ac:dyDescent="0.25">
      <c r="A10" s="6" t="s">
        <v>20</v>
      </c>
      <c r="B10" s="6">
        <f>1*1/2</f>
        <v>0.5</v>
      </c>
      <c r="C10" s="6" t="s">
        <v>149</v>
      </c>
    </row>
    <row r="11" spans="1:33" x14ac:dyDescent="0.25">
      <c r="A11" s="6" t="s">
        <v>21</v>
      </c>
      <c r="B11" s="6">
        <v>2</v>
      </c>
      <c r="C11" s="6" t="s">
        <v>151</v>
      </c>
    </row>
    <row r="12" spans="1:33" x14ac:dyDescent="0.25">
      <c r="A12" s="6" t="s">
        <v>22</v>
      </c>
      <c r="B12" s="6">
        <v>1</v>
      </c>
      <c r="C12" s="6" t="s">
        <v>152</v>
      </c>
    </row>
    <row r="13" spans="1:33" x14ac:dyDescent="0.25">
      <c r="A13" s="6" t="s">
        <v>23</v>
      </c>
      <c r="B13" s="6">
        <f>1*1/5</f>
        <v>0.2</v>
      </c>
      <c r="C13" s="6" t="s">
        <v>154</v>
      </c>
    </row>
    <row r="14" spans="1:33" x14ac:dyDescent="0.25">
      <c r="A14" s="6" t="s">
        <v>24</v>
      </c>
      <c r="B14" s="6">
        <f>1*1/4</f>
        <v>0.25</v>
      </c>
      <c r="C14" s="6" t="s">
        <v>155</v>
      </c>
    </row>
    <row r="15" spans="1:33" x14ac:dyDescent="0.25">
      <c r="A15" s="6" t="s">
        <v>25</v>
      </c>
      <c r="B15" s="6">
        <f>1*1/3</f>
        <v>0.33333333333333331</v>
      </c>
      <c r="C15" s="6" t="s">
        <v>156</v>
      </c>
    </row>
    <row r="16" spans="1:33" x14ac:dyDescent="0.25">
      <c r="A16" s="6" t="s">
        <v>26</v>
      </c>
      <c r="B16" s="6">
        <f>1*1/3</f>
        <v>0.33333333333333331</v>
      </c>
      <c r="C16" s="6" t="s">
        <v>157</v>
      </c>
    </row>
    <row r="17" spans="1:3" x14ac:dyDescent="0.25">
      <c r="A17" s="6" t="s">
        <v>27</v>
      </c>
      <c r="B17" s="6">
        <f>1*1/2</f>
        <v>0.5</v>
      </c>
      <c r="C17" s="6" t="s">
        <v>158</v>
      </c>
    </row>
    <row r="18" spans="1:3" x14ac:dyDescent="0.25">
      <c r="A18" s="6" t="s">
        <v>28</v>
      </c>
      <c r="B18" s="6">
        <f>1*1/3</f>
        <v>0.33333333333333331</v>
      </c>
      <c r="C18" s="6" t="s">
        <v>159</v>
      </c>
    </row>
    <row r="19" spans="1:3" x14ac:dyDescent="0.25">
      <c r="A19" s="6" t="s">
        <v>29</v>
      </c>
      <c r="B19" s="6">
        <f>1*1/3</f>
        <v>0.33333333333333331</v>
      </c>
      <c r="C19" s="6" t="s">
        <v>160</v>
      </c>
    </row>
    <row r="20" spans="1:3" x14ac:dyDescent="0.25">
      <c r="A20" s="6" t="s">
        <v>30</v>
      </c>
      <c r="B20" s="6">
        <f t="shared" ref="B20:B25" si="1">1*1/2</f>
        <v>0.5</v>
      </c>
      <c r="C20" s="6" t="s">
        <v>161</v>
      </c>
    </row>
    <row r="21" spans="1:3" x14ac:dyDescent="0.25">
      <c r="A21" s="6" t="s">
        <v>31</v>
      </c>
      <c r="B21" s="6">
        <f t="shared" si="1"/>
        <v>0.5</v>
      </c>
      <c r="C21" s="6" t="s">
        <v>162</v>
      </c>
    </row>
    <row r="22" spans="1:3" x14ac:dyDescent="0.25">
      <c r="A22" s="6" t="s">
        <v>32</v>
      </c>
      <c r="B22" s="6">
        <f t="shared" si="1"/>
        <v>0.5</v>
      </c>
      <c r="C22" s="6" t="s">
        <v>163</v>
      </c>
    </row>
    <row r="23" spans="1:3" x14ac:dyDescent="0.25">
      <c r="A23" s="6" t="s">
        <v>33</v>
      </c>
      <c r="B23" s="6">
        <f t="shared" si="1"/>
        <v>0.5</v>
      </c>
      <c r="C23" s="6" t="s">
        <v>164</v>
      </c>
    </row>
    <row r="24" spans="1:3" x14ac:dyDescent="0.25">
      <c r="A24" s="6" t="s">
        <v>34</v>
      </c>
      <c r="B24" s="6">
        <f t="shared" si="1"/>
        <v>0.5</v>
      </c>
      <c r="C24" s="6" t="s">
        <v>165</v>
      </c>
    </row>
    <row r="25" spans="1:3" x14ac:dyDescent="0.25">
      <c r="A25" s="6" t="s">
        <v>35</v>
      </c>
      <c r="B25" s="6">
        <f t="shared" si="1"/>
        <v>0.5</v>
      </c>
      <c r="C25" s="6" t="s">
        <v>166</v>
      </c>
    </row>
    <row r="26" spans="1:3" x14ac:dyDescent="0.25">
      <c r="A26" s="6" t="s">
        <v>36</v>
      </c>
      <c r="B26" s="6">
        <v>1</v>
      </c>
      <c r="C26" s="6" t="s">
        <v>167</v>
      </c>
    </row>
    <row r="27" spans="1:3" x14ac:dyDescent="0.25">
      <c r="A27" s="6" t="s">
        <v>37</v>
      </c>
      <c r="B27" s="6">
        <v>1</v>
      </c>
      <c r="C27" s="6" t="s">
        <v>168</v>
      </c>
    </row>
    <row r="28" spans="1:3" x14ac:dyDescent="0.25">
      <c r="A28" s="6" t="s">
        <v>38</v>
      </c>
      <c r="B28" s="6">
        <f>1*1/2</f>
        <v>0.5</v>
      </c>
      <c r="C28" s="6" t="s">
        <v>169</v>
      </c>
    </row>
    <row r="29" spans="1:3" x14ac:dyDescent="0.25">
      <c r="A29" s="6" t="s">
        <v>39</v>
      </c>
      <c r="B29" s="6">
        <f>1*1/2</f>
        <v>0.5</v>
      </c>
      <c r="C29" s="6" t="s">
        <v>170</v>
      </c>
    </row>
    <row r="30" spans="1:3" x14ac:dyDescent="0.25">
      <c r="A30" s="6" t="s">
        <v>40</v>
      </c>
      <c r="B30" s="6">
        <v>2</v>
      </c>
      <c r="C30" s="6" t="s">
        <v>171</v>
      </c>
    </row>
    <row r="31" spans="1:3" x14ac:dyDescent="0.25">
      <c r="A31" s="6" t="s">
        <v>41</v>
      </c>
      <c r="B31" s="6">
        <v>1</v>
      </c>
      <c r="C31" s="6" t="s">
        <v>172</v>
      </c>
    </row>
    <row r="32" spans="1:3" x14ac:dyDescent="0.25">
      <c r="A32" s="6" t="s">
        <v>42</v>
      </c>
      <c r="B32" s="6">
        <v>3</v>
      </c>
      <c r="C32" s="6" t="s">
        <v>173</v>
      </c>
    </row>
  </sheetData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1DA4BE-23AE-4896-9731-699580735C3A}">
  <dimension ref="A1:AG32"/>
  <sheetViews>
    <sheetView workbookViewId="0">
      <selection activeCell="F3" sqref="F3:AG3"/>
    </sheetView>
  </sheetViews>
  <sheetFormatPr defaultRowHeight="15" x14ac:dyDescent="0.25"/>
  <cols>
    <col min="1" max="1" width="45.28515625" bestFit="1" customWidth="1"/>
    <col min="2" max="2" width="17.7109375" bestFit="1" customWidth="1"/>
    <col min="3" max="3" width="73" bestFit="1" customWidth="1"/>
  </cols>
  <sheetData>
    <row r="1" spans="1:33" x14ac:dyDescent="0.25">
      <c r="A1" t="s">
        <v>104</v>
      </c>
      <c r="B1" t="s">
        <v>105</v>
      </c>
      <c r="C1" t="s">
        <v>70</v>
      </c>
    </row>
    <row r="2" spans="1:33" x14ac:dyDescent="0.25">
      <c r="A2" t="s">
        <v>12</v>
      </c>
      <c r="B2">
        <f>1/3</f>
        <v>0.33333333333333331</v>
      </c>
      <c r="C2" t="s">
        <v>174</v>
      </c>
    </row>
    <row r="3" spans="1:33" x14ac:dyDescent="0.25">
      <c r="A3" t="s">
        <v>13</v>
      </c>
      <c r="B3">
        <v>2</v>
      </c>
      <c r="C3" t="s">
        <v>175</v>
      </c>
      <c r="F3">
        <v>1</v>
      </c>
      <c r="G3">
        <v>1</v>
      </c>
      <c r="H3">
        <v>3</v>
      </c>
      <c r="I3">
        <v>2</v>
      </c>
      <c r="J3">
        <v>1</v>
      </c>
      <c r="K3">
        <v>1</v>
      </c>
      <c r="L3">
        <v>2</v>
      </c>
      <c r="M3">
        <v>1</v>
      </c>
      <c r="N3">
        <f>1*1/4</f>
        <v>0.25</v>
      </c>
      <c r="O3">
        <f>1*1/3</f>
        <v>0.33333333333333331</v>
      </c>
      <c r="P3">
        <f>1*1/2</f>
        <v>0.5</v>
      </c>
      <c r="Q3">
        <f>1*1/2</f>
        <v>0.5</v>
      </c>
      <c r="R3">
        <v>1</v>
      </c>
      <c r="S3">
        <v>1</v>
      </c>
      <c r="T3">
        <v>1</v>
      </c>
      <c r="U3">
        <v>1</v>
      </c>
      <c r="V3">
        <v>1</v>
      </c>
      <c r="W3">
        <v>1</v>
      </c>
      <c r="X3">
        <v>1</v>
      </c>
      <c r="Y3">
        <v>1</v>
      </c>
      <c r="Z3">
        <v>1</v>
      </c>
      <c r="AA3">
        <v>1</v>
      </c>
      <c r="AB3">
        <v>1</v>
      </c>
      <c r="AC3">
        <v>1</v>
      </c>
      <c r="AD3">
        <v>2</v>
      </c>
      <c r="AE3">
        <v>3</v>
      </c>
      <c r="AF3">
        <v>2</v>
      </c>
      <c r="AG3">
        <v>3</v>
      </c>
    </row>
    <row r="4" spans="1:33" x14ac:dyDescent="0.25">
      <c r="A4" t="s">
        <v>14</v>
      </c>
      <c r="B4">
        <v>1</v>
      </c>
      <c r="C4" t="s">
        <v>106</v>
      </c>
    </row>
    <row r="5" spans="1:33" x14ac:dyDescent="0.25">
      <c r="A5" t="s">
        <v>15</v>
      </c>
      <c r="B5">
        <v>1</v>
      </c>
      <c r="C5" t="s">
        <v>176</v>
      </c>
    </row>
    <row r="6" spans="1:33" x14ac:dyDescent="0.25">
      <c r="A6" t="s">
        <v>16</v>
      </c>
      <c r="B6">
        <v>1</v>
      </c>
      <c r="C6" t="s">
        <v>177</v>
      </c>
    </row>
    <row r="7" spans="1:33" x14ac:dyDescent="0.25">
      <c r="A7" t="s">
        <v>17</v>
      </c>
      <c r="B7">
        <v>3</v>
      </c>
      <c r="C7" t="s">
        <v>178</v>
      </c>
    </row>
    <row r="8" spans="1:33" x14ac:dyDescent="0.25">
      <c r="A8" t="s">
        <v>18</v>
      </c>
      <c r="B8">
        <v>2</v>
      </c>
      <c r="C8" t="s">
        <v>179</v>
      </c>
    </row>
    <row r="9" spans="1:33" x14ac:dyDescent="0.25">
      <c r="A9" t="s">
        <v>19</v>
      </c>
      <c r="B9">
        <v>1</v>
      </c>
      <c r="C9" t="s">
        <v>180</v>
      </c>
    </row>
    <row r="10" spans="1:33" x14ac:dyDescent="0.25">
      <c r="A10" t="s">
        <v>20</v>
      </c>
      <c r="B10">
        <v>1</v>
      </c>
      <c r="C10" t="s">
        <v>181</v>
      </c>
    </row>
    <row r="11" spans="1:33" x14ac:dyDescent="0.25">
      <c r="A11" t="s">
        <v>21</v>
      </c>
      <c r="B11">
        <v>2</v>
      </c>
      <c r="C11" t="s">
        <v>182</v>
      </c>
    </row>
    <row r="12" spans="1:33" x14ac:dyDescent="0.25">
      <c r="A12" t="s">
        <v>22</v>
      </c>
      <c r="B12">
        <v>1</v>
      </c>
      <c r="C12" t="s">
        <v>183</v>
      </c>
    </row>
    <row r="13" spans="1:33" x14ac:dyDescent="0.25">
      <c r="A13" t="s">
        <v>23</v>
      </c>
      <c r="B13">
        <f>1*1/4</f>
        <v>0.25</v>
      </c>
      <c r="C13" t="s">
        <v>184</v>
      </c>
    </row>
    <row r="14" spans="1:33" x14ac:dyDescent="0.25">
      <c r="A14" t="s">
        <v>24</v>
      </c>
      <c r="B14">
        <f>1*1/3</f>
        <v>0.33333333333333331</v>
      </c>
      <c r="C14" t="s">
        <v>185</v>
      </c>
    </row>
    <row r="15" spans="1:33" x14ac:dyDescent="0.25">
      <c r="A15" t="s">
        <v>25</v>
      </c>
      <c r="B15">
        <f>1*1/2</f>
        <v>0.5</v>
      </c>
      <c r="C15" t="s">
        <v>186</v>
      </c>
    </row>
    <row r="16" spans="1:33" x14ac:dyDescent="0.25">
      <c r="A16" t="s">
        <v>26</v>
      </c>
      <c r="B16">
        <f>1*1/2</f>
        <v>0.5</v>
      </c>
      <c r="C16" t="s">
        <v>187</v>
      </c>
    </row>
    <row r="17" spans="1:3" x14ac:dyDescent="0.25">
      <c r="A17" t="s">
        <v>27</v>
      </c>
      <c r="B17">
        <v>1</v>
      </c>
      <c r="C17" t="s">
        <v>188</v>
      </c>
    </row>
    <row r="18" spans="1:3" x14ac:dyDescent="0.25">
      <c r="A18" t="s">
        <v>28</v>
      </c>
      <c r="B18">
        <v>1</v>
      </c>
      <c r="C18" t="s">
        <v>189</v>
      </c>
    </row>
    <row r="19" spans="1:3" x14ac:dyDescent="0.25">
      <c r="A19" t="s">
        <v>29</v>
      </c>
      <c r="B19">
        <v>1</v>
      </c>
      <c r="C19" t="s">
        <v>190</v>
      </c>
    </row>
    <row r="20" spans="1:3" x14ac:dyDescent="0.25">
      <c r="A20" t="s">
        <v>30</v>
      </c>
      <c r="B20">
        <v>1</v>
      </c>
      <c r="C20" t="s">
        <v>191</v>
      </c>
    </row>
    <row r="21" spans="1:3" x14ac:dyDescent="0.25">
      <c r="A21" t="s">
        <v>31</v>
      </c>
      <c r="B21">
        <v>1</v>
      </c>
      <c r="C21" t="s">
        <v>192</v>
      </c>
    </row>
    <row r="22" spans="1:3" x14ac:dyDescent="0.25">
      <c r="A22" t="s">
        <v>32</v>
      </c>
      <c r="B22">
        <v>1</v>
      </c>
      <c r="C22" t="s">
        <v>193</v>
      </c>
    </row>
    <row r="23" spans="1:3" x14ac:dyDescent="0.25">
      <c r="A23" t="s">
        <v>33</v>
      </c>
      <c r="B23">
        <v>1</v>
      </c>
      <c r="C23" t="s">
        <v>194</v>
      </c>
    </row>
    <row r="24" spans="1:3" x14ac:dyDescent="0.25">
      <c r="A24" t="s">
        <v>34</v>
      </c>
      <c r="B24">
        <v>1</v>
      </c>
      <c r="C24" t="s">
        <v>195</v>
      </c>
    </row>
    <row r="25" spans="1:3" x14ac:dyDescent="0.25">
      <c r="A25" t="s">
        <v>35</v>
      </c>
      <c r="B25">
        <v>1</v>
      </c>
      <c r="C25" t="s">
        <v>196</v>
      </c>
    </row>
    <row r="26" spans="1:3" x14ac:dyDescent="0.25">
      <c r="A26" t="s">
        <v>36</v>
      </c>
      <c r="B26">
        <v>1</v>
      </c>
      <c r="C26" t="s">
        <v>197</v>
      </c>
    </row>
    <row r="27" spans="1:3" x14ac:dyDescent="0.25">
      <c r="A27" t="s">
        <v>37</v>
      </c>
      <c r="B27">
        <v>1</v>
      </c>
      <c r="C27" t="s">
        <v>198</v>
      </c>
    </row>
    <row r="28" spans="1:3" x14ac:dyDescent="0.25">
      <c r="A28" t="s">
        <v>38</v>
      </c>
      <c r="B28">
        <v>1</v>
      </c>
      <c r="C28" t="s">
        <v>199</v>
      </c>
    </row>
    <row r="29" spans="1:3" x14ac:dyDescent="0.25">
      <c r="A29" t="s">
        <v>39</v>
      </c>
      <c r="B29">
        <v>2</v>
      </c>
      <c r="C29" t="s">
        <v>200</v>
      </c>
    </row>
    <row r="30" spans="1:3" x14ac:dyDescent="0.25">
      <c r="A30" t="s">
        <v>40</v>
      </c>
      <c r="B30">
        <v>3</v>
      </c>
      <c r="C30" t="s">
        <v>201</v>
      </c>
    </row>
    <row r="31" spans="1:3" x14ac:dyDescent="0.25">
      <c r="A31" t="s">
        <v>41</v>
      </c>
      <c r="B31">
        <v>2</v>
      </c>
      <c r="C31" t="s">
        <v>202</v>
      </c>
    </row>
    <row r="32" spans="1:3" x14ac:dyDescent="0.25">
      <c r="A32" t="s">
        <v>42</v>
      </c>
      <c r="B32">
        <v>3</v>
      </c>
      <c r="C32" t="s">
        <v>203</v>
      </c>
    </row>
  </sheetData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250D52-C129-425B-8B1F-3A2230553BB8}">
  <dimension ref="A1:AE28"/>
  <sheetViews>
    <sheetView topLeftCell="S1" workbookViewId="0">
      <selection activeCell="AE3" sqref="E3:AE3"/>
    </sheetView>
  </sheetViews>
  <sheetFormatPr defaultRowHeight="15" x14ac:dyDescent="0.25"/>
  <cols>
    <col min="1" max="1" width="45.28515625" bestFit="1" customWidth="1"/>
    <col min="2" max="2" width="17.7109375" bestFit="1" customWidth="1"/>
    <col min="3" max="3" width="66.140625" bestFit="1" customWidth="1"/>
  </cols>
  <sheetData>
    <row r="1" spans="1:31" x14ac:dyDescent="0.25">
      <c r="A1" s="6" t="s">
        <v>104</v>
      </c>
      <c r="B1" s="6" t="s">
        <v>105</v>
      </c>
      <c r="C1" s="6" t="s">
        <v>70</v>
      </c>
    </row>
    <row r="2" spans="1:31" x14ac:dyDescent="0.25">
      <c r="A2" s="6" t="s">
        <v>16</v>
      </c>
      <c r="B2" s="6">
        <v>1</v>
      </c>
      <c r="C2" s="6" t="s">
        <v>204</v>
      </c>
    </row>
    <row r="3" spans="1:31" x14ac:dyDescent="0.25">
      <c r="A3" s="6" t="s">
        <v>17</v>
      </c>
      <c r="B3" s="6">
        <v>5</v>
      </c>
      <c r="C3" s="6" t="s">
        <v>205</v>
      </c>
      <c r="E3" s="6">
        <v>1</v>
      </c>
      <c r="F3" s="6">
        <v>5</v>
      </c>
      <c r="G3" s="6">
        <v>3</v>
      </c>
      <c r="H3" s="6">
        <v>1</v>
      </c>
      <c r="I3" s="6">
        <v>1</v>
      </c>
      <c r="J3" s="6">
        <v>2</v>
      </c>
      <c r="K3" s="6">
        <v>1</v>
      </c>
      <c r="L3" s="6">
        <f>1*1/3</f>
        <v>0.33333333333333331</v>
      </c>
      <c r="M3" s="6">
        <f>1*1/3</f>
        <v>0.33333333333333331</v>
      </c>
      <c r="N3" s="6">
        <f>1*1/2</f>
        <v>0.5</v>
      </c>
      <c r="O3" s="6">
        <f>1*1/2</f>
        <v>0.5</v>
      </c>
      <c r="P3" s="6">
        <v>1</v>
      </c>
      <c r="Q3" s="6">
        <v>1</v>
      </c>
      <c r="R3" s="6">
        <v>1</v>
      </c>
      <c r="S3" s="6">
        <v>1</v>
      </c>
      <c r="T3" s="6">
        <v>1</v>
      </c>
      <c r="U3" s="6">
        <v>1</v>
      </c>
      <c r="V3" s="6">
        <v>1</v>
      </c>
      <c r="W3" s="6">
        <v>1</v>
      </c>
      <c r="X3" s="6">
        <v>1</v>
      </c>
      <c r="Y3" s="6">
        <v>1</v>
      </c>
      <c r="Z3" s="6">
        <v>1</v>
      </c>
      <c r="AA3" s="6">
        <v>1</v>
      </c>
      <c r="AB3" s="6">
        <f>1*1/2</f>
        <v>0.5</v>
      </c>
      <c r="AC3" s="6">
        <v>2</v>
      </c>
      <c r="AD3" s="6">
        <v>1</v>
      </c>
      <c r="AE3" s="6">
        <v>3</v>
      </c>
    </row>
    <row r="4" spans="1:31" x14ac:dyDescent="0.25">
      <c r="A4" s="6" t="s">
        <v>18</v>
      </c>
      <c r="B4" s="6">
        <v>3</v>
      </c>
      <c r="C4" s="6" t="s">
        <v>206</v>
      </c>
    </row>
    <row r="5" spans="1:31" x14ac:dyDescent="0.25">
      <c r="A5" s="6" t="s">
        <v>19</v>
      </c>
      <c r="B5" s="6">
        <v>1</v>
      </c>
      <c r="C5" s="6" t="s">
        <v>207</v>
      </c>
    </row>
    <row r="6" spans="1:31" x14ac:dyDescent="0.25">
      <c r="A6" s="6" t="s">
        <v>20</v>
      </c>
      <c r="B6" s="6">
        <v>1</v>
      </c>
      <c r="C6" s="6" t="s">
        <v>208</v>
      </c>
    </row>
    <row r="7" spans="1:31" x14ac:dyDescent="0.25">
      <c r="A7" s="6" t="s">
        <v>21</v>
      </c>
      <c r="B7" s="6">
        <v>2</v>
      </c>
      <c r="C7" s="6" t="s">
        <v>209</v>
      </c>
    </row>
    <row r="8" spans="1:31" x14ac:dyDescent="0.25">
      <c r="A8" s="6" t="s">
        <v>22</v>
      </c>
      <c r="B8" s="6">
        <v>1</v>
      </c>
      <c r="C8" s="6" t="s">
        <v>210</v>
      </c>
    </row>
    <row r="9" spans="1:31" x14ac:dyDescent="0.25">
      <c r="A9" s="6" t="s">
        <v>23</v>
      </c>
      <c r="B9" s="6">
        <f>1*1/3</f>
        <v>0.33333333333333331</v>
      </c>
      <c r="C9" s="6" t="s">
        <v>211</v>
      </c>
    </row>
    <row r="10" spans="1:31" x14ac:dyDescent="0.25">
      <c r="A10" s="6" t="s">
        <v>24</v>
      </c>
      <c r="B10" s="6">
        <f>1*1/3</f>
        <v>0.33333333333333331</v>
      </c>
      <c r="C10" s="6" t="s">
        <v>212</v>
      </c>
    </row>
    <row r="11" spans="1:31" x14ac:dyDescent="0.25">
      <c r="A11" s="6" t="s">
        <v>25</v>
      </c>
      <c r="B11" s="6">
        <f>1*1/2</f>
        <v>0.5</v>
      </c>
      <c r="C11" s="6" t="s">
        <v>213</v>
      </c>
    </row>
    <row r="12" spans="1:31" x14ac:dyDescent="0.25">
      <c r="A12" s="6" t="s">
        <v>26</v>
      </c>
      <c r="B12" s="6">
        <f>1*1/2</f>
        <v>0.5</v>
      </c>
      <c r="C12" s="6" t="s">
        <v>214</v>
      </c>
    </row>
    <row r="13" spans="1:31" x14ac:dyDescent="0.25">
      <c r="A13" s="6" t="s">
        <v>27</v>
      </c>
      <c r="B13" s="6">
        <v>1</v>
      </c>
      <c r="C13" s="6" t="s">
        <v>215</v>
      </c>
    </row>
    <row r="14" spans="1:31" x14ac:dyDescent="0.25">
      <c r="A14" s="6" t="s">
        <v>28</v>
      </c>
      <c r="B14" s="6">
        <v>1</v>
      </c>
      <c r="C14" s="6" t="s">
        <v>216</v>
      </c>
    </row>
    <row r="15" spans="1:31" x14ac:dyDescent="0.25">
      <c r="A15" s="6" t="s">
        <v>29</v>
      </c>
      <c r="B15" s="6">
        <v>1</v>
      </c>
      <c r="C15" s="6" t="s">
        <v>217</v>
      </c>
    </row>
    <row r="16" spans="1:31" x14ac:dyDescent="0.25">
      <c r="A16" s="6" t="s">
        <v>30</v>
      </c>
      <c r="B16" s="6">
        <v>1</v>
      </c>
      <c r="C16" s="6" t="s">
        <v>218</v>
      </c>
    </row>
    <row r="17" spans="1:3" x14ac:dyDescent="0.25">
      <c r="A17" s="6" t="s">
        <v>31</v>
      </c>
      <c r="B17" s="6">
        <v>1</v>
      </c>
      <c r="C17" s="6" t="s">
        <v>219</v>
      </c>
    </row>
    <row r="18" spans="1:3" x14ac:dyDescent="0.25">
      <c r="A18" s="6" t="s">
        <v>32</v>
      </c>
      <c r="B18" s="6">
        <v>1</v>
      </c>
      <c r="C18" s="6" t="s">
        <v>220</v>
      </c>
    </row>
    <row r="19" spans="1:3" x14ac:dyDescent="0.25">
      <c r="A19" s="6" t="s">
        <v>33</v>
      </c>
      <c r="B19" s="6">
        <v>1</v>
      </c>
      <c r="C19" s="6" t="s">
        <v>221</v>
      </c>
    </row>
    <row r="20" spans="1:3" x14ac:dyDescent="0.25">
      <c r="A20" s="6" t="s">
        <v>34</v>
      </c>
      <c r="B20" s="6">
        <v>1</v>
      </c>
      <c r="C20" s="6" t="s">
        <v>222</v>
      </c>
    </row>
    <row r="21" spans="1:3" x14ac:dyDescent="0.25">
      <c r="A21" s="6" t="s">
        <v>35</v>
      </c>
      <c r="B21" s="6">
        <v>1</v>
      </c>
      <c r="C21" s="6" t="s">
        <v>223</v>
      </c>
    </row>
    <row r="22" spans="1:3" x14ac:dyDescent="0.25">
      <c r="A22" s="6" t="s">
        <v>36</v>
      </c>
      <c r="B22" s="6">
        <v>1</v>
      </c>
      <c r="C22" s="6" t="s">
        <v>224</v>
      </c>
    </row>
    <row r="23" spans="1:3" x14ac:dyDescent="0.25">
      <c r="A23" s="6" t="s">
        <v>37</v>
      </c>
      <c r="B23" s="6">
        <v>1</v>
      </c>
      <c r="C23" s="6" t="s">
        <v>225</v>
      </c>
    </row>
    <row r="24" spans="1:3" x14ac:dyDescent="0.25">
      <c r="A24" s="6" t="s">
        <v>38</v>
      </c>
      <c r="B24" s="6">
        <v>1</v>
      </c>
      <c r="C24" s="6" t="s">
        <v>226</v>
      </c>
    </row>
    <row r="25" spans="1:3" x14ac:dyDescent="0.25">
      <c r="A25" s="6" t="s">
        <v>39</v>
      </c>
      <c r="B25" s="6">
        <f>1*1/2</f>
        <v>0.5</v>
      </c>
      <c r="C25" s="6" t="s">
        <v>227</v>
      </c>
    </row>
    <row r="26" spans="1:3" x14ac:dyDescent="0.25">
      <c r="A26" s="6" t="s">
        <v>40</v>
      </c>
      <c r="B26" s="6">
        <v>2</v>
      </c>
      <c r="C26" s="6" t="s">
        <v>228</v>
      </c>
    </row>
    <row r="27" spans="1:3" x14ac:dyDescent="0.25">
      <c r="A27" s="6" t="s">
        <v>41</v>
      </c>
      <c r="B27" s="6">
        <v>1</v>
      </c>
      <c r="C27" s="6" t="s">
        <v>229</v>
      </c>
    </row>
    <row r="28" spans="1:3" x14ac:dyDescent="0.25">
      <c r="A28" s="6" t="s">
        <v>42</v>
      </c>
      <c r="B28" s="6">
        <v>3</v>
      </c>
      <c r="C28" s="6" t="s">
        <v>230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6606ECAEEF9724F8B21096E35D6CD87" ma:contentTypeVersion="14" ma:contentTypeDescription="Create a new document." ma:contentTypeScope="" ma:versionID="3e88dd1acebf4ddc7da0f2b74ce9102b">
  <xsd:schema xmlns:xsd="http://www.w3.org/2001/XMLSchema" xmlns:xs="http://www.w3.org/2001/XMLSchema" xmlns:p="http://schemas.microsoft.com/office/2006/metadata/properties" xmlns:ns3="6687462c-860b-476b-91a6-07b9aa7cef0d" xmlns:ns4="ad2c7392-2401-43c9-85dd-7a73336bb1f7" targetNamespace="http://schemas.microsoft.com/office/2006/metadata/properties" ma:root="true" ma:fieldsID="79d57a0954d8e23c90c440c24b3c6cbb" ns3:_="" ns4:_="">
    <xsd:import namespace="6687462c-860b-476b-91a6-07b9aa7cef0d"/>
    <xsd:import namespace="ad2c7392-2401-43c9-85dd-7a73336bb1f7"/>
    <xsd:element name="properties">
      <xsd:complexType>
        <xsd:sequence>
          <xsd:element name="documentManagement">
            <xsd:complexType>
              <xsd:all>
                <xsd:element ref="ns3:_activity" minOccurs="0"/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DateTaken" minOccurs="0"/>
                <xsd:element ref="ns3:MediaServiceSystemTags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MediaServiceSearchProperties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687462c-860b-476b-91a6-07b9aa7cef0d" elementFormDefault="qualified">
    <xsd:import namespace="http://schemas.microsoft.com/office/2006/documentManagement/types"/>
    <xsd:import namespace="http://schemas.microsoft.com/office/infopath/2007/PartnerControls"/>
    <xsd:element name="_activity" ma:index="8" nillable="true" ma:displayName="_activity" ma:hidden="true" ma:internalName="_activity">
      <xsd:simpleType>
        <xsd:restriction base="dms:Note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ystemTags" ma:index="16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d2c7392-2401-43c9-85dd-7a73336bb1f7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4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6687462c-860b-476b-91a6-07b9aa7cef0d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BF8E096-098F-47AA-843F-CB66A8BB173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687462c-860b-476b-91a6-07b9aa7cef0d"/>
    <ds:schemaRef ds:uri="ad2c7392-2401-43c9-85dd-7a73336bb1f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08699996-2013-4C75-ACCB-6644DE998E6B}">
  <ds:schemaRefs>
    <ds:schemaRef ds:uri="http://purl.org/dc/terms/"/>
    <ds:schemaRef ds:uri="http://www.w3.org/XML/1998/namespace"/>
    <ds:schemaRef ds:uri="http://schemas.microsoft.com/office/2006/metadata/properties"/>
    <ds:schemaRef ds:uri="http://purl.org/dc/dcmitype/"/>
    <ds:schemaRef ds:uri="http://schemas.microsoft.com/office/2006/documentManagement/types"/>
    <ds:schemaRef ds:uri="http://purl.org/dc/elements/1.1/"/>
    <ds:schemaRef ds:uri="6687462c-860b-476b-91a6-07b9aa7cef0d"/>
    <ds:schemaRef ds:uri="http://schemas.microsoft.com/office/infopath/2007/PartnerControls"/>
    <ds:schemaRef ds:uri="http://schemas.openxmlformats.org/package/2006/metadata/core-properties"/>
    <ds:schemaRef ds:uri="ad2c7392-2401-43c9-85dd-7a73336bb1f7"/>
  </ds:schemaRefs>
</ds:datastoreItem>
</file>

<file path=customXml/itemProps3.xml><?xml version="1.0" encoding="utf-8"?>
<ds:datastoreItem xmlns:ds="http://schemas.openxmlformats.org/officeDocument/2006/customXml" ds:itemID="{6768F3B0-C80D-425A-92B4-A199F1DA337C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55</vt:i4>
      </vt:variant>
    </vt:vector>
  </HeadingPairs>
  <TitlesOfParts>
    <vt:vector size="55" baseType="lpstr">
      <vt:lpstr>C1 Summary</vt:lpstr>
      <vt:lpstr>C1 System Weights</vt:lpstr>
      <vt:lpstr>C1 Metric Descriptions</vt:lpstr>
      <vt:lpstr>DSM Elements</vt:lpstr>
      <vt:lpstr>C2 Interface Weights</vt:lpstr>
      <vt:lpstr>Financial Interface</vt:lpstr>
      <vt:lpstr>Legal Interface</vt:lpstr>
      <vt:lpstr>Operation Interface</vt:lpstr>
      <vt:lpstr>Service Interface</vt:lpstr>
      <vt:lpstr>Prereq Interface</vt:lpstr>
      <vt:lpstr>Coordination Interface</vt:lpstr>
      <vt:lpstr>Definition Interface</vt:lpstr>
      <vt:lpstr>Contractual Interface</vt:lpstr>
      <vt:lpstr>Energy Interface</vt:lpstr>
      <vt:lpstr>Contribution Interface</vt:lpstr>
      <vt:lpstr>Development Interface</vt:lpstr>
      <vt:lpstr>Mass Interface</vt:lpstr>
      <vt:lpstr>Information Interface</vt:lpstr>
      <vt:lpstr>Physical Interface</vt:lpstr>
      <vt:lpstr>Deliverable Interface</vt:lpstr>
      <vt:lpstr>C2 Interface Weights Summary</vt:lpstr>
      <vt:lpstr>Function Criticality</vt:lpstr>
      <vt:lpstr>Function Categorization</vt:lpstr>
      <vt:lpstr>Utility AHP</vt:lpstr>
      <vt:lpstr>Utility AHP (2)</vt:lpstr>
      <vt:lpstr>Deploy Smokejumpers</vt:lpstr>
      <vt:lpstr>Refuel Airborne Assets</vt:lpstr>
      <vt:lpstr>Provide MRO for Assets</vt:lpstr>
      <vt:lpstr>Refill Water and Fire Retardant</vt:lpstr>
      <vt:lpstr>Activate MAFFS</vt:lpstr>
      <vt:lpstr>Issue Commands to Assets</vt:lpstr>
      <vt:lpstr>Communicate to Resources</vt:lpstr>
      <vt:lpstr>Maintain Communication Assets</vt:lpstr>
      <vt:lpstr>Maintain Comm Assets and C3</vt:lpstr>
      <vt:lpstr>Deploy First Response Assets</vt:lpstr>
      <vt:lpstr>Coordinate Air &amp; Ground Res</vt:lpstr>
      <vt:lpstr>Dynamically Allocate Resources</vt:lpstr>
      <vt:lpstr>Strategically Monitor Fires</vt:lpstr>
      <vt:lpstr>Gather Real Time Data</vt:lpstr>
      <vt:lpstr>Build Real Time SA</vt:lpstr>
      <vt:lpstr>Predict Fire Paths Behavior</vt:lpstr>
      <vt:lpstr>Visually Confirm Fires</vt:lpstr>
      <vt:lpstr>Detect Fires</vt:lpstr>
      <vt:lpstr>Tactically Monitor Fires</vt:lpstr>
      <vt:lpstr>Predict New Fires</vt:lpstr>
      <vt:lpstr>Spill Water from Ground Assets</vt:lpstr>
      <vt:lpstr>Establish Containment Lines</vt:lpstr>
      <vt:lpstr>Deploy Ground Assets</vt:lpstr>
      <vt:lpstr>Dispatch to Reloading Base</vt:lpstr>
      <vt:lpstr>Perform Post Drop Assessment</vt:lpstr>
      <vt:lpstr>Drop Fire Retardant</vt:lpstr>
      <vt:lpstr>Deploy Air Assets</vt:lpstr>
      <vt:lpstr>Lead Tankers</vt:lpstr>
      <vt:lpstr>Supervise Air Attacks</vt:lpstr>
      <vt:lpstr>Drop Water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Cadd, Terelle</dc:creator>
  <cp:keywords/>
  <dc:description/>
  <cp:lastModifiedBy>Terelle Cadd</cp:lastModifiedBy>
  <cp:revision/>
  <dcterms:created xsi:type="dcterms:W3CDTF">2023-06-14T20:12:06Z</dcterms:created>
  <dcterms:modified xsi:type="dcterms:W3CDTF">2026-05-01T04:56:41Z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0x010100D6606ECAEEF9724F8B21096E35D6CD87</vt:lpwstr>
  </property>
  <property fmtid="{D5CDD505-2E9C-101B-9397-08002B2CF9AE}" pid="3" name="MediaServiceImageTags">
    <vt:lpwstr/>
  </property>
  <property fmtid="{D5CDD505-2E9C-101B-9397-08002B2CF9AE}" pid="4" name="MSIP_Label_77ec30f1-36ec-4c08-bd9c-8c7ce5f9f16e_Enabled">
    <vt:lpwstr>true</vt:lpwstr>
  </property>
  <property fmtid="{D5CDD505-2E9C-101B-9397-08002B2CF9AE}" pid="5" name="MSIP_Label_77ec30f1-36ec-4c08-bd9c-8c7ce5f9f16e_SetDate">
    <vt:lpwstr>2025-03-17T17:30:05Z</vt:lpwstr>
  </property>
  <property fmtid="{D5CDD505-2E9C-101B-9397-08002B2CF9AE}" pid="6" name="MSIP_Label_77ec30f1-36ec-4c08-bd9c-8c7ce5f9f16e_Method">
    <vt:lpwstr>Privileged</vt:lpwstr>
  </property>
  <property fmtid="{D5CDD505-2E9C-101B-9397-08002B2CF9AE}" pid="7" name="MSIP_Label_77ec30f1-36ec-4c08-bd9c-8c7ce5f9f16e_Name">
    <vt:lpwstr>Non-Sensitive</vt:lpwstr>
  </property>
  <property fmtid="{D5CDD505-2E9C-101B-9397-08002B2CF9AE}" pid="8" name="MSIP_Label_77ec30f1-36ec-4c08-bd9c-8c7ce5f9f16e_SiteId">
    <vt:lpwstr>8d4826a0-e24c-40fe-b5f1-e4c5d7fce467</vt:lpwstr>
  </property>
  <property fmtid="{D5CDD505-2E9C-101B-9397-08002B2CF9AE}" pid="9" name="MSIP_Label_77ec30f1-36ec-4c08-bd9c-8c7ce5f9f16e_ActionId">
    <vt:lpwstr>0e1a184f-5076-49e0-b025-169787f23db7</vt:lpwstr>
  </property>
  <property fmtid="{D5CDD505-2E9C-101B-9397-08002B2CF9AE}" pid="10" name="MSIP_Label_77ec30f1-36ec-4c08-bd9c-8c7ce5f9f16e_ContentBits">
    <vt:lpwstr>2</vt:lpwstr>
  </property>
  <property fmtid="{D5CDD505-2E9C-101B-9397-08002B2CF9AE}" pid="11" name="MSIP_Label_77ec30f1-36ec-4c08-bd9c-8c7ce5f9f16e_Tag">
    <vt:lpwstr>10, 0, 1, 1</vt:lpwstr>
  </property>
</Properties>
</file>