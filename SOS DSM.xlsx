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tcadd_mit_edu/Documents/Grad School/Research/Automated DSM Information/DSMs/Complexity Calculation/"/>
    </mc:Choice>
  </mc:AlternateContent>
  <xr:revisionPtr revIDLastSave="1671" documentId="11_514DD9270A42CF433BB4AF85F2012D16118B9B69" xr6:coauthVersionLast="47" xr6:coauthVersionMax="47" xr10:uidLastSave="{A8272D74-9B0A-4C46-B863-1B147F53B2F6}"/>
  <bookViews>
    <workbookView xWindow="-120" yWindow="-120" windowWidth="29040" windowHeight="15720" xr2:uid="{00000000-000D-0000-FFFF-FFFF00000000}"/>
  </bookViews>
  <sheets>
    <sheet name="DS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19" i="1" l="1"/>
  <c r="CK14" i="1"/>
  <c r="CK13" i="1"/>
  <c r="CK12" i="1"/>
  <c r="CK10" i="1"/>
  <c r="CK9" i="1"/>
  <c r="CK7" i="1"/>
  <c r="CK6" i="1"/>
  <c r="CK5" i="1"/>
  <c r="CK4" i="1"/>
  <c r="CK3" i="1"/>
  <c r="CK2" i="1"/>
  <c r="CK8" i="1"/>
  <c r="CK20" i="1"/>
  <c r="CK21" i="1"/>
</calcChain>
</file>

<file path=xl/sharedStrings.xml><?xml version="1.0" encoding="utf-8"?>
<sst xmlns="http://schemas.openxmlformats.org/spreadsheetml/2006/main" count="1463" uniqueCount="267">
  <si>
    <t>System of System DSM</t>
  </si>
  <si>
    <t>Very Large Air Tankers</t>
  </si>
  <si>
    <t>Large Air Tankers</t>
  </si>
  <si>
    <t>Single Engine Airtankers</t>
  </si>
  <si>
    <t>Water Scoopers</t>
  </si>
  <si>
    <t>Military Airborne Firefighting System</t>
  </si>
  <si>
    <t>Helicopters Type I</t>
  </si>
  <si>
    <t>Helicopters Type II</t>
  </si>
  <si>
    <t>Helicopters Type III</t>
  </si>
  <si>
    <t>Tactical Lead Planes</t>
  </si>
  <si>
    <t>Air Attack Group Supervisor (AAGS)</t>
  </si>
  <si>
    <t>Smokejumper Aircraft</t>
  </si>
  <si>
    <t>Tactical UAS</t>
  </si>
  <si>
    <t>HAPS</t>
  </si>
  <si>
    <t>EO Satellites (OroraTech)</t>
  </si>
  <si>
    <t>Weather Satellites (GOES-16/GOES-18)</t>
  </si>
  <si>
    <t>Comms Satellites (Iridium)</t>
  </si>
  <si>
    <t>Satellite Imagery Systems (VIIRS Pipeline)</t>
  </si>
  <si>
    <t>Fire Engines</t>
  </si>
  <si>
    <t>Airbase Support Systems</t>
  </si>
  <si>
    <t>C3 Systems</t>
  </si>
  <si>
    <t>Deploy Air Assets</t>
  </si>
  <si>
    <t>Lead Tankers</t>
  </si>
  <si>
    <t>Supervise Air Attacks (AAGs)</t>
  </si>
  <si>
    <t>Drop Water</t>
  </si>
  <si>
    <t>Drop Fire Retardant</t>
  </si>
  <si>
    <t>Perform Post-Drop Assessment</t>
  </si>
  <si>
    <t>Dispatch To Reloading Base</t>
  </si>
  <si>
    <t>Deploy Ground Assets</t>
  </si>
  <si>
    <t>Establish Containment Lines</t>
  </si>
  <si>
    <t>Spill Water from Ground Assets</t>
  </si>
  <si>
    <t>Tactically Monitor Fires</t>
  </si>
  <si>
    <t>Predict New Fires</t>
  </si>
  <si>
    <t>Detect Fires</t>
  </si>
  <si>
    <t>Visually Confirm Fires</t>
  </si>
  <si>
    <t>Predict Fire Paths/Behavior</t>
  </si>
  <si>
    <t>Strategically Monitor Fires</t>
  </si>
  <si>
    <t>Gather Real Time Data from Assets</t>
  </si>
  <si>
    <t>Build Real Time Situational Awareness</t>
  </si>
  <si>
    <t>Coordinate Air &amp; Ground Resources</t>
  </si>
  <si>
    <t>Dynamically Allocate Resources</t>
  </si>
  <si>
    <t>Issue Commands to Assets</t>
  </si>
  <si>
    <t>Communicate to Resources</t>
  </si>
  <si>
    <t>Maintain Communication Among Assets</t>
  </si>
  <si>
    <t>Maintain Communication Between Assets and C3</t>
  </si>
  <si>
    <t>Deploy First Response Ground Assets</t>
  </si>
  <si>
    <t>Deploy Smokejumpers</t>
  </si>
  <si>
    <t>Activate MAFFS</t>
  </si>
  <si>
    <t>Refuel Airborne Assets</t>
  </si>
  <si>
    <t>Provide MRO for Assets</t>
  </si>
  <si>
    <t>Refill Water and Fire Retardants</t>
  </si>
  <si>
    <t>Provide Logistic Support to Crews</t>
  </si>
  <si>
    <t>Federal Emergency Management Agency</t>
  </si>
  <si>
    <t>National Interagency Fire Center</t>
  </si>
  <si>
    <t>Environmental Protection Agency</t>
  </si>
  <si>
    <t>Manufacturers Of VLAT/LAT</t>
  </si>
  <si>
    <t>Manufacturers Of Lead Plane &amp; AAGS</t>
  </si>
  <si>
    <t>Satellite Manufacturers</t>
  </si>
  <si>
    <t>UAS Manufacturers</t>
  </si>
  <si>
    <t>C3 Systems Suppliers</t>
  </si>
  <si>
    <t>Communication Systems Suppliers</t>
  </si>
  <si>
    <t>Geospatial Information System Companies</t>
  </si>
  <si>
    <t>Cloud Service Providers</t>
  </si>
  <si>
    <t>Firefighting Equipment Suppliers</t>
  </si>
  <si>
    <t>Fire Engines Manufacturers</t>
  </si>
  <si>
    <t>US Forest Service</t>
  </si>
  <si>
    <t>Bureau Of Land Management (BLM)</t>
  </si>
  <si>
    <t>National Park Service (NPS)</t>
  </si>
  <si>
    <t>US Fish &amp; Wildlife Services (USFWS)</t>
  </si>
  <si>
    <t>Bureau Of Indian Affairs (BIA)</t>
  </si>
  <si>
    <t>US Department of Defense (DOD)</t>
  </si>
  <si>
    <t>Local Fire Departments</t>
  </si>
  <si>
    <t>Volunteer Firefighting Organizations</t>
  </si>
  <si>
    <t>Private Aircraft Operators</t>
  </si>
  <si>
    <t>National Weather Service (NWS)</t>
  </si>
  <si>
    <t>National Oceanic &amp; Atmospheric Admin (NOAA)</t>
  </si>
  <si>
    <t>R</t>
  </si>
  <si>
    <t>I</t>
  </si>
  <si>
    <t>MPEI</t>
  </si>
  <si>
    <t>c</t>
  </si>
  <si>
    <t>D</t>
  </si>
  <si>
    <t>S</t>
  </si>
  <si>
    <t>OS</t>
  </si>
  <si>
    <t>O</t>
  </si>
  <si>
    <t>DOS</t>
  </si>
  <si>
    <t>DS</t>
  </si>
  <si>
    <t>DO</t>
  </si>
  <si>
    <t>C</t>
  </si>
  <si>
    <t>Y</t>
  </si>
  <si>
    <t>Military Organizations (US National Guard/DOD)</t>
  </si>
  <si>
    <t>XF</t>
  </si>
  <si>
    <t>F</t>
  </si>
  <si>
    <t>L</t>
  </si>
  <si>
    <t>FL</t>
  </si>
  <si>
    <t>FAA</t>
  </si>
  <si>
    <t>State Governors' Offices</t>
  </si>
  <si>
    <t>Provincial Emergency Agencies (e.g., Ontario EMO)</t>
  </si>
  <si>
    <t>Canadian Interagency Forest Fire Centre (CIFFC)</t>
  </si>
  <si>
    <t>Global Affairs Canada</t>
  </si>
  <si>
    <t>U.S. Department of State</t>
  </si>
  <si>
    <t>U.S. Federal Government</t>
  </si>
  <si>
    <t>Government of Canada</t>
  </si>
  <si>
    <t>M</t>
  </si>
  <si>
    <t>MO</t>
  </si>
  <si>
    <t>CMO</t>
  </si>
  <si>
    <t>Z</t>
  </si>
  <si>
    <t>ZFL</t>
  </si>
  <si>
    <t>CO</t>
  </si>
  <si>
    <t>LP</t>
  </si>
  <si>
    <t>P</t>
  </si>
  <si>
    <t>OD</t>
  </si>
  <si>
    <t>ZFLY</t>
  </si>
  <si>
    <t>LPY</t>
  </si>
  <si>
    <t>FPY</t>
  </si>
  <si>
    <t>PY</t>
  </si>
  <si>
    <t>ZLY</t>
  </si>
  <si>
    <t>FP</t>
  </si>
  <si>
    <t>ZL</t>
  </si>
  <si>
    <t>SD</t>
  </si>
  <si>
    <t>OC</t>
  </si>
  <si>
    <t>YFPL</t>
  </si>
  <si>
    <t>ZPY</t>
  </si>
  <si>
    <t>MHEI</t>
  </si>
  <si>
    <t>HEI</t>
  </si>
  <si>
    <t>High intrinsic aircraft capability/maintenance complexity; interfaces are mostly standardized dispatch, comms, and logistics.</t>
  </si>
  <si>
    <t>Complex airframe and mission systems dominate; interfaces largely operational (tasking, refuel/reload, airspace coordination).</t>
  </si>
  <si>
    <t>Moderate platform complexity with frequent coordination; slightly more interface dependence than larger tankers.</t>
  </si>
  <si>
    <t>Specialized platform plus water handling drives C1; interfaces mainly airspace and water-source coordination.</t>
  </si>
  <si>
    <t>Aircraft kit is complex but effectiveness depends on integration with civilian command and procedures (interface-heavy).</t>
  </si>
  <si>
    <t>High performance rotorcraft and sling/crew systems drive C1; interfaces are routine tasking and comms.</t>
  </si>
  <si>
    <t>Moderate platform complexity with more reliance on coordination for sequencing and safety.</t>
  </si>
  <si>
    <t>Lower platform complexity but high operational coordination (airspace, ground integration) increases C2 importance.</t>
  </si>
  <si>
    <t>Specialized avionics/crew procedures drive C1; interfaces are focused on comms and airspace deconfliction.</t>
  </si>
  <si>
    <t>Primarily a coordination node; value comes from information/coordination interfaces across many assets.</t>
  </si>
  <si>
    <t>Aircraft and deployment systems drive C1; interfaces mainly staging, comms, and drop coordination.</t>
  </si>
  <si>
    <t>Autonomy, sensors, and control stack are complex; interfaces mostly standardized data/command links.</t>
  </si>
  <si>
    <t>High-altitude platform complexity (power/avionics/persistence) dominates; relatively stable interfaces for tasking and data relay.</t>
  </si>
  <si>
    <t>Advanced payload and spacecraft bus dominate C1; interfaces mainly data downlink and product integration.</t>
  </si>
  <si>
    <t>Highly complex space/ground segments dominate; interfaces are mature and standardized weather product pipelines.</t>
  </si>
  <si>
    <t>Constellation and networking complexity drive C1; interfaces are largely standardized comms services.</t>
  </si>
  <si>
    <t>End-to-end pipeline is an integration hub (data ingest, processing, distribution); interface complexity is dominant.</t>
  </si>
  <si>
    <t>Vehicle capability and crew systems matter, but effectiveness is strongly coupled to dispatch and on-scene coordination.</t>
  </si>
  <si>
    <t>Ground support is defined by throughput and coordination (fuel, reload, scheduling); interfaces dominate.</t>
  </si>
  <si>
    <t>Core purpose is coordination and information flow; interface complexity is the primary driver.</t>
  </si>
  <si>
    <t>Success depends on coordination, approvals, staging, and comms across many nodes; interface-driven.</t>
  </si>
  <si>
    <t>Blend of procedure/skill and comms; coordination is significant but execution has meaningful intrinsic complexity.</t>
  </si>
  <si>
    <t>Supervision is predominantly information/coordination and command relationships; interface-heavy.</t>
  </si>
  <si>
    <t>Execution is constrained by platform capability and tactics; interfaces are important but secondary to aircraft performance.</t>
  </si>
  <si>
    <t>Similar to water drops: mission execution and delivery accuracy drive C1; interfaces support sequencing and safety.</t>
  </si>
  <si>
    <t>Requires sensing/interpretation plus coordination to feed results back; balanced C1/C2.</t>
  </si>
  <si>
    <t>Operational routing depends on scheduling, base status, and airspace constraints; interface-heavy but not purely so.</t>
  </si>
  <si>
    <t>Deployment depends on resource availability, access, and coordination with incident command; interface-driven.</t>
  </si>
  <si>
    <t>Tactical execution and field conditions matter; interfaces with command/logistics are important but not dominant.</t>
  </si>
  <si>
    <t>On-scene execution and equipment capability matter; interfaces mainly tasking and safety coordination.</t>
  </si>
  <si>
    <t>Observation plus reporting loops; moderate dependence on information interfaces.</t>
  </si>
  <si>
    <t>Analytic/model complexity and data fusion are both important; balanced.</t>
  </si>
  <si>
    <t>Detection quality depends on sensing/algorithms (C1) with supporting data/communications interfaces (C2).</t>
  </si>
  <si>
    <t>Human/EO confirmation plus reporting; balanced between execution and information handoffs.</t>
  </si>
  <si>
    <t>Modeling complexity and multi-source data integration are comparably important.</t>
  </si>
  <si>
    <t>Strategic monitoring is defined by coordination and information products across organizations; interface-heavy.</t>
  </si>
  <si>
    <t>Data collection depends on telemetry/data standards and comms links across assets; interface-driven.</t>
  </si>
  <si>
    <t>Primarily an integration activity across many data sources and stakeholders; interface-dominant.</t>
  </si>
  <si>
    <t>Coordination is almost entirely interface complexity (information, coordination, prerequisite links).</t>
  </si>
  <si>
    <t>Optimization depends on shared status data and decision/command links; interface-heavy.</t>
  </si>
  <si>
    <t>Command effectiveness is dominated by communication and organizational interfaces.</t>
  </si>
  <si>
    <t>Communication is an interface activity by definition; C2 dominates.</t>
  </si>
  <si>
    <t>Sustaining comms is primarily interface reliability/standards and network dependencies.</t>
  </si>
  <si>
    <t>C3 linkage is almost entirely interface-driven (information + coordination + service flows).</t>
  </si>
  <si>
    <t>Rapid deployment hinges on dispatch/availability interfaces, but execution constraints still matter.</t>
  </si>
  <si>
    <t>Tactical execution plus coordination with air/ground and safety; moderately interface-heavy.</t>
  </si>
  <si>
    <t>Activation depends on interagency agreements, approvals, and integration with incident command; interface-heavy.</t>
  </si>
  <si>
    <t>Service execution and throughput constraints are significant; interfaces coordinate scheduling and safety.</t>
  </si>
  <si>
    <t>Maintenance complexity and quality systems matter; interfaces support supply chain and scheduling.</t>
  </si>
  <si>
    <t>Balanced: operational process capability plus coordination with bases and aircraft turnaround.</t>
  </si>
  <si>
    <t>Logistics is strongly dependent on coordination and service interfaces across orgs.</t>
  </si>
  <si>
    <t>Multi-stakeholder coordination and funding/authority interfaces dominate; intrinsic 'element' complexity is secondary.</t>
  </si>
  <si>
    <t>Central coordination hub; interface complexity (coordination/definition/prerequisite) is dominant.</t>
  </si>
  <si>
    <t>Regulatory and information interfaces shape operations; C2 dominates over internal complexity.</t>
  </si>
  <si>
    <t>Interfaces driven by approvals, command relationships, and integration with civilian incident command.</t>
  </si>
  <si>
    <t>Primarily contractual/deliverable interfaces with operators; moderate internal capability but interface role dominates.</t>
  </si>
  <si>
    <t>Supplier role is defined by deliverables/training/support interfaces; moderate eta.</t>
  </si>
  <si>
    <t>Dominated by contractual/deliverable interfaces to operators and agencies; moderate internal complexity.</t>
  </si>
  <si>
    <t>Contractual/service interfaces and support drive impact; moderate eta.</t>
  </si>
  <si>
    <t>Supplier role with strong integration interfaces (APIs, service, contracts); balanced toward C2.</t>
  </si>
  <si>
    <t>Service/contractual interfaces and standards dominate; moderate eta.</t>
  </si>
  <si>
    <t>Value delivered through data/service integration interfaces; moderate eta.</t>
  </si>
  <si>
    <t>Service-level and contractual interfaces dominate; internal complexity is not the SoS driver.</t>
  </si>
  <si>
    <t>Supplier interfaces (deliverables, contracts, service) dominate; moderate eta.</t>
  </si>
  <si>
    <t>Deliverable/contractual interfaces dominate SoS role; moderate eta.</t>
  </si>
  <si>
    <t>Lead operational authority; heavy coordination/prerequisite/legal interfaces drive complexity.</t>
  </si>
  <si>
    <t>Interagency coordination and jurisdiction interfaces dominate; slightly less central than USFS.</t>
  </si>
  <si>
    <t>Jurisdictional and coordination interfaces drive role; C2 emphasis.</t>
  </si>
  <si>
    <t>Coordination/regulatory interfaces dominate; moderate C2 emphasis.</t>
  </si>
  <si>
    <t>Tribal jurisdiction and coordination interfaces dominate; C2 emphasis.</t>
  </si>
  <si>
    <t>Mission/approval and coordination interfaces dominate in wildfire support contexts.</t>
  </si>
  <si>
    <t>Operational interfaces (coordination, service, info) dominate; some intrinsic capacity but interface role is key.</t>
  </si>
  <si>
    <t>Higher reliance on coordination/logistics interfaces and variability in integration; interface-heavy.</t>
  </si>
  <si>
    <t>Contractual/service interfaces and coordination with incident command dominate; moderate eta.</t>
  </si>
  <si>
    <t>Information service interfaces and coordination with incident command dominate.</t>
  </si>
  <si>
    <t>Provides information products and coordination interfaces; C2 emphasis.</t>
  </si>
  <si>
    <t>Airspace regulation and coordination interfaces dominate; strong legal/prerequisite links.</t>
  </si>
  <si>
    <t>Policy/authority and coordination interfaces dominate; minimal intrinsic element complexity.</t>
  </si>
  <si>
    <t>Cross-jurisdiction coordination interfaces dominate; interface-heavy.</t>
  </si>
  <si>
    <t>National coordination clearinghouse; interface complexity is dominant.</t>
  </si>
  <si>
    <t>Diplomatic/coordination interfaces dominate; interface-heavy.</t>
  </si>
  <si>
    <t>Highest-level policy/funding/legal interfaces dominate; C2 overwhelmingly drives SoS complexity.</t>
  </si>
  <si>
    <t>suppress_acph_estimate</t>
  </si>
  <si>
    <t>reasoning</t>
  </si>
  <si>
    <t>VLATs (e.g., DC-10) deliver very large retardant loads per drop; estimate assumes large coverage per sortie but longer turnaround time.</t>
  </si>
  <si>
    <t>Large airtankers (RJ85, MD-87, etc.) deliver substantial retardant per sortie with moderate turnaround time.</t>
  </si>
  <si>
    <t>SEATs drop smaller loads but can make frequent passes; suited for targeted suppression.</t>
  </si>
  <si>
    <t>Scoopers (CL-215/415) can refill quickly from nearby water and conduct repeated drops; moderate sustained suppression rate.</t>
  </si>
  <si>
    <t>MAFFS-equipped C-130s deliver retardant comparable to large airtankers but with operational constraints.</t>
  </si>
  <si>
    <t>Heavy-lift helicopters with large buckets; effective when water source nearby.</t>
  </si>
  <si>
    <t>Medium helicopters with moderate bucket capacity.</t>
  </si>
  <si>
    <t>Smaller helicopters with limited bucket capacity; used for precision suppression.</t>
  </si>
  <si>
    <t>Coordinate aerial suppression; no direct suppression capability.</t>
  </si>
  <si>
    <t>Supervisory/coordination role only.</t>
  </si>
  <si>
    <t>Insertion of crews enables manual line construction; small direct per-hour acreage effect.</t>
  </si>
  <si>
    <t>ISR and targeting only; no direct suppression.</t>
  </si>
  <si>
    <t>High-altitude surveillance/comms; no suppression.</t>
  </si>
  <si>
    <t>Detection and monitoring only.</t>
  </si>
  <si>
    <t>Weather monitoring only.</t>
  </si>
  <si>
    <t>Communications backbone only.</t>
  </si>
  <si>
    <t>Imagery processing and detection only.</t>
  </si>
  <si>
    <t>Single engine crew performing hose lays, structure protection, and line building; variable productivity.</t>
  </si>
  <si>
    <t>Enabling logistics only (refuel/reload aircraft).</t>
  </si>
  <si>
    <t>Command, control, communications only.</t>
  </si>
  <si>
    <t>reference</t>
  </si>
  <si>
    <t>Industry reporting on DC-10 VLAT operations; USFS aviation summaries</t>
  </si>
  <si>
    <t>USFS aviation summaries; Wildfire aviation reporting</t>
  </si>
  <si>
    <t>USFS SEAT program descriptions</t>
  </si>
  <si>
    <t>Manufacturer and wildfire aviation reporting</t>
  </si>
  <si>
    <t>USFS MAFFS program documentation</t>
  </si>
  <si>
    <t>USFS helicopter typing standards</t>
  </si>
  <si>
    <t>USFS aviation doctrine</t>
  </si>
  <si>
    <t>Incident aviation structure documentation</t>
  </si>
  <si>
    <t>USFS Smokejumper program documentation</t>
  </si>
  <si>
    <t>Wildfire UAS mission documentation</t>
  </si>
  <si>
    <t>HAPS program documentation</t>
  </si>
  <si>
    <t>OroraTech product documentation</t>
  </si>
  <si>
    <t>NOAA GOES mission documentation</t>
  </si>
  <si>
    <t>Iridium network documentation</t>
  </si>
  <si>
    <t>NASA/NOAA VIIRS documentation</t>
  </si>
  <si>
    <t>CAL FIRE engine role documentation</t>
  </si>
  <si>
    <t>Airbase operations documentation</t>
  </si>
  <si>
    <t>Incident Command System documentation</t>
  </si>
  <si>
    <t>asset_cost_usd_est</t>
  </si>
  <si>
    <t>cost_per_use_usd_est</t>
  </si>
  <si>
    <t>cost_reference</t>
  </si>
  <si>
    <t>USFS aviation cost summaries; DC‑10 VLAT reporting</t>
  </si>
  <si>
    <t>USFS LAT contract and wildfire aviation cost reporting</t>
  </si>
  <si>
    <t>USFS SEAT program documentation</t>
  </si>
  <si>
    <t>Canadair CL‑415 / FireBoss reporting and RAND wildfire aviation analysis</t>
  </si>
  <si>
    <t>Wildfire helicopter contract rate summaries</t>
  </si>
  <si>
    <t>Air attack / lead plane aviation contract estimates</t>
  </si>
  <si>
    <t>Air attack supervisor aircraft cost estimates</t>
  </si>
  <si>
    <t>Smokejumper aviation support aircraft estimates</t>
  </si>
  <si>
    <t>Typical tactical drone procurement and operating costs</t>
  </si>
  <si>
    <t>HAPS platform development estimates</t>
  </si>
  <si>
    <t>Typical small EO satellite mission cost estimates</t>
  </si>
  <si>
    <t>NOAA GOES‑R series lifecycle program cost reporting</t>
  </si>
  <si>
    <t>Iridium NEXT satellite manufacturing estimates</t>
  </si>
  <si>
    <t>NASA / NOAA VIIRS satellite system development estimates</t>
  </si>
  <si>
    <t>Municipal fire engine procurement estimates</t>
  </si>
  <si>
    <t>Wildfire airbase infrastructure estimates</t>
  </si>
  <si>
    <t>Wildfire command‑and‑control system procurement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</si>
</sst>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CEF6C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2" borderId="0" xfId="0" applyFont="1" applyFill="1" applyAlignment="1">
      <alignment textRotation="90" wrapText="1"/>
    </xf>
    <xf numFmtId="0" fontId="3" fillId="3" borderId="0" xfId="0" applyFont="1" applyFill="1" applyAlignment="1">
      <alignment textRotation="90" wrapText="1"/>
    </xf>
    <xf numFmtId="0" fontId="3" fillId="4" borderId="0" xfId="0" applyFont="1" applyFill="1" applyAlignment="1">
      <alignment textRotation="90" wrapText="1"/>
    </xf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5" borderId="8" xfId="0" applyFill="1" applyBorder="1"/>
    <xf numFmtId="0" fontId="0" fillId="0" borderId="1" xfId="0" applyBorder="1"/>
    <xf numFmtId="0" fontId="0" fillId="0" borderId="8" xfId="0" applyBorder="1"/>
    <xf numFmtId="0" fontId="0" fillId="6" borderId="0" xfId="0" applyFill="1"/>
    <xf numFmtId="0" fontId="0" fillId="6" borderId="8" xfId="0" applyFill="1" applyBorder="1"/>
    <xf numFmtId="0" fontId="4" fillId="0" borderId="0" xfId="0" applyFont="1"/>
    <xf numFmtId="0" fontId="4" fillId="0" borderId="5" xfId="0" applyFont="1" applyBorder="1"/>
    <xf numFmtId="0" fontId="4" fillId="0" borderId="7" xfId="0" applyFont="1" applyBorder="1"/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top"/>
    </xf>
    <xf numFmtId="0" fontId="2" fillId="0" borderId="0" xfId="1"/>
    <xf numFmtId="0" fontId="6" fillId="0" borderId="12" xfId="1" applyFont="1" applyBorder="1" applyAlignment="1">
      <alignment horizontal="center" vertical="top"/>
    </xf>
    <xf numFmtId="0" fontId="1" fillId="0" borderId="0" xfId="1" applyFont="1"/>
  </cellXfs>
  <cellStyles count="2">
    <cellStyle name="Normal" xfId="0" builtinId="0"/>
    <cellStyle name="Normal 2" xfId="1" xr:uid="{4F51F555-7CA7-4D2D-876C-DBF1A6AEF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85"/>
  <sheetViews>
    <sheetView tabSelected="1" zoomScale="63" zoomScaleNormal="53" workbookViewId="0">
      <pane xSplit="1" topLeftCell="CI1" activePane="topRight" state="frozen"/>
      <selection pane="topRight" activeCell="CL9" sqref="CL9"/>
    </sheetView>
  </sheetViews>
  <sheetFormatPr defaultRowHeight="14.35" x14ac:dyDescent="0.5"/>
  <cols>
    <col min="1" max="1" width="66.17578125" bestFit="1" customWidth="1"/>
    <col min="2" max="51" width="4.5859375" customWidth="1"/>
    <col min="52" max="52" width="5.234375" bestFit="1" customWidth="1"/>
    <col min="53" max="85" width="4.5859375" customWidth="1"/>
    <col min="86" max="88" width="9" bestFit="1" customWidth="1"/>
    <col min="89" max="89" width="24" bestFit="1" customWidth="1"/>
    <col min="90" max="90" width="26.52734375" bestFit="1" customWidth="1"/>
    <col min="93" max="93" width="81" customWidth="1"/>
  </cols>
  <sheetData>
    <row r="1" spans="1:94" ht="248.35" thickBot="1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89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94</v>
      </c>
      <c r="CA1" s="7" t="s">
        <v>95</v>
      </c>
      <c r="CB1" s="7" t="s">
        <v>96</v>
      </c>
      <c r="CC1" s="7" t="s">
        <v>97</v>
      </c>
      <c r="CD1" s="7" t="s">
        <v>98</v>
      </c>
      <c r="CE1" s="7" t="s">
        <v>99</v>
      </c>
      <c r="CF1" s="7" t="s">
        <v>100</v>
      </c>
      <c r="CG1" s="7" t="s">
        <v>101</v>
      </c>
      <c r="CI1" s="28" t="s">
        <v>206</v>
      </c>
      <c r="CJ1" s="28"/>
      <c r="CK1" s="30" t="s">
        <v>247</v>
      </c>
      <c r="CL1" s="30" t="s">
        <v>248</v>
      </c>
      <c r="CM1" s="30" t="s">
        <v>249</v>
      </c>
      <c r="CN1" s="28" t="s">
        <v>207</v>
      </c>
      <c r="CP1" s="28" t="s">
        <v>228</v>
      </c>
    </row>
    <row r="2" spans="1:94" ht="24" customHeight="1" thickBot="1" x14ac:dyDescent="0.55000000000000004">
      <c r="A2" s="2" t="s">
        <v>1</v>
      </c>
      <c r="B2" s="8"/>
      <c r="C2" s="9"/>
      <c r="D2" s="9"/>
      <c r="E2" s="9"/>
      <c r="F2" s="9"/>
      <c r="G2" s="9"/>
      <c r="H2" s="9"/>
      <c r="I2" s="9"/>
      <c r="J2" s="9" t="s">
        <v>77</v>
      </c>
      <c r="K2" s="9" t="s">
        <v>77</v>
      </c>
      <c r="L2" s="9"/>
      <c r="M2" s="9"/>
      <c r="N2" s="9"/>
      <c r="O2" s="9"/>
      <c r="P2" s="9"/>
      <c r="Q2" s="9"/>
      <c r="R2" s="9"/>
      <c r="S2" s="9"/>
      <c r="T2" s="9" t="s">
        <v>78</v>
      </c>
      <c r="U2" s="10" t="s">
        <v>77</v>
      </c>
      <c r="V2" s="17"/>
      <c r="W2" s="9"/>
      <c r="X2" s="9"/>
      <c r="Y2" s="9"/>
      <c r="Z2" s="9" t="s">
        <v>79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10"/>
      <c r="BA2" s="17"/>
      <c r="BB2" s="9"/>
      <c r="BC2" s="9"/>
      <c r="BD2" s="9"/>
      <c r="BE2" s="9" t="s">
        <v>80</v>
      </c>
      <c r="BF2" s="9"/>
      <c r="BG2" s="9"/>
      <c r="BH2" s="9"/>
      <c r="BI2" s="9"/>
      <c r="BJ2" s="9"/>
      <c r="BK2" s="9"/>
      <c r="BL2" s="9"/>
      <c r="BM2" s="9" t="s">
        <v>81</v>
      </c>
      <c r="BN2" s="9"/>
      <c r="BO2" s="9" t="s">
        <v>82</v>
      </c>
      <c r="BP2" s="9"/>
      <c r="BQ2" s="9"/>
      <c r="BR2" s="9"/>
      <c r="BS2" s="9"/>
      <c r="BT2" s="9"/>
      <c r="BU2" s="9"/>
      <c r="BV2" s="9"/>
      <c r="BW2" s="9" t="s">
        <v>83</v>
      </c>
      <c r="BX2" s="9"/>
      <c r="BY2" s="9"/>
      <c r="BZ2" s="9"/>
      <c r="CA2" s="9" t="s">
        <v>110</v>
      </c>
      <c r="CB2" s="9"/>
      <c r="CC2" s="9"/>
      <c r="CD2" s="9"/>
      <c r="CE2" s="9"/>
      <c r="CF2" s="9"/>
      <c r="CG2" s="10"/>
      <c r="CH2" s="24">
        <v>0.65</v>
      </c>
      <c r="CI2">
        <v>50</v>
      </c>
      <c r="CJ2">
        <v>0.125</v>
      </c>
      <c r="CK2" s="31">
        <f>50000000/390</f>
        <v>128205.1282051282</v>
      </c>
      <c r="CL2" s="29">
        <v>800</v>
      </c>
      <c r="CM2" s="29" t="s">
        <v>250</v>
      </c>
      <c r="CN2" t="s">
        <v>208</v>
      </c>
      <c r="CO2" s="25" t="s">
        <v>124</v>
      </c>
      <c r="CP2" t="s">
        <v>229</v>
      </c>
    </row>
    <row r="3" spans="1:94" ht="24" customHeight="1" thickBot="1" x14ac:dyDescent="0.55000000000000004">
      <c r="A3" s="2" t="s">
        <v>2</v>
      </c>
      <c r="B3" s="11"/>
      <c r="C3" s="12"/>
      <c r="J3" t="s">
        <v>77</v>
      </c>
      <c r="K3" t="s">
        <v>77</v>
      </c>
      <c r="T3" t="s">
        <v>78</v>
      </c>
      <c r="U3" s="13" t="s">
        <v>77</v>
      </c>
      <c r="V3" s="11"/>
      <c r="Z3" t="s">
        <v>79</v>
      </c>
      <c r="AZ3" s="13"/>
      <c r="BA3" s="11"/>
      <c r="BE3" t="s">
        <v>80</v>
      </c>
      <c r="BM3" t="s">
        <v>81</v>
      </c>
      <c r="BO3" t="s">
        <v>82</v>
      </c>
      <c r="BW3" t="s">
        <v>83</v>
      </c>
      <c r="CA3" t="s">
        <v>110</v>
      </c>
      <c r="CG3" s="13"/>
      <c r="CH3" s="26">
        <v>0.62</v>
      </c>
      <c r="CI3">
        <v>25</v>
      </c>
      <c r="CJ3">
        <v>0.104167</v>
      </c>
      <c r="CK3" s="29">
        <f xml:space="preserve"> 25000000/390</f>
        <v>64102.564102564102</v>
      </c>
      <c r="CL3" s="29">
        <v>600</v>
      </c>
      <c r="CM3" s="29" t="s">
        <v>251</v>
      </c>
      <c r="CN3" t="s">
        <v>209</v>
      </c>
      <c r="CO3" s="27" t="s">
        <v>125</v>
      </c>
      <c r="CP3" t="s">
        <v>230</v>
      </c>
    </row>
    <row r="4" spans="1:94" ht="24" customHeight="1" thickBot="1" x14ac:dyDescent="0.55000000000000004">
      <c r="A4" s="2" t="s">
        <v>3</v>
      </c>
      <c r="B4" s="11"/>
      <c r="D4" s="12"/>
      <c r="J4" t="s">
        <v>77</v>
      </c>
      <c r="K4" t="s">
        <v>77</v>
      </c>
      <c r="T4" t="s">
        <v>78</v>
      </c>
      <c r="U4" s="13" t="s">
        <v>77</v>
      </c>
      <c r="V4" s="11"/>
      <c r="Z4" t="s">
        <v>79</v>
      </c>
      <c r="AZ4" s="13"/>
      <c r="BA4" s="11"/>
      <c r="BE4" t="s">
        <v>80</v>
      </c>
      <c r="BM4" t="s">
        <v>81</v>
      </c>
      <c r="BU4" t="s">
        <v>83</v>
      </c>
      <c r="BW4" t="s">
        <v>82</v>
      </c>
      <c r="CA4" t="s">
        <v>110</v>
      </c>
      <c r="CG4" s="13"/>
      <c r="CH4" s="26">
        <v>0.57999999999999996</v>
      </c>
      <c r="CI4">
        <v>8</v>
      </c>
      <c r="CJ4">
        <v>6.25E-2</v>
      </c>
      <c r="CK4" s="29">
        <f>4300000/390</f>
        <v>11025.641025641025</v>
      </c>
      <c r="CL4" s="29">
        <v>500</v>
      </c>
      <c r="CM4" s="29" t="s">
        <v>252</v>
      </c>
      <c r="CN4" t="s">
        <v>210</v>
      </c>
      <c r="CO4" s="27" t="s">
        <v>126</v>
      </c>
      <c r="CP4" t="s">
        <v>231</v>
      </c>
    </row>
    <row r="5" spans="1:94" ht="24" customHeight="1" thickBot="1" x14ac:dyDescent="0.55000000000000004">
      <c r="A5" s="2" t="s">
        <v>4</v>
      </c>
      <c r="B5" s="11"/>
      <c r="E5" s="12"/>
      <c r="T5" t="s">
        <v>122</v>
      </c>
      <c r="U5" s="13" t="s">
        <v>77</v>
      </c>
      <c r="V5" s="11"/>
      <c r="Y5" t="s">
        <v>79</v>
      </c>
      <c r="AZ5" s="13"/>
      <c r="BA5" s="11"/>
      <c r="BE5" t="s">
        <v>80</v>
      </c>
      <c r="BW5" t="s">
        <v>82</v>
      </c>
      <c r="CG5" s="13"/>
      <c r="CH5" s="26">
        <v>0.6</v>
      </c>
      <c r="CI5">
        <v>15</v>
      </c>
      <c r="CJ5">
        <v>1.0416699999999999E-2</v>
      </c>
      <c r="CK5" s="29">
        <f>35000000/390</f>
        <v>89743.58974358975</v>
      </c>
      <c r="CL5" s="29">
        <v>0</v>
      </c>
      <c r="CM5" s="29" t="s">
        <v>253</v>
      </c>
      <c r="CN5" t="s">
        <v>211</v>
      </c>
      <c r="CO5" s="27" t="s">
        <v>127</v>
      </c>
      <c r="CP5" t="s">
        <v>232</v>
      </c>
    </row>
    <row r="6" spans="1:94" ht="24" customHeight="1" thickBot="1" x14ac:dyDescent="0.55000000000000004">
      <c r="A6" s="2" t="s">
        <v>5</v>
      </c>
      <c r="B6" s="11"/>
      <c r="F6" s="12"/>
      <c r="T6" t="s">
        <v>122</v>
      </c>
      <c r="U6" s="13" t="s">
        <v>77</v>
      </c>
      <c r="V6" s="11"/>
      <c r="Z6" t="s">
        <v>79</v>
      </c>
      <c r="AV6" t="s">
        <v>79</v>
      </c>
      <c r="AZ6" s="13"/>
      <c r="BA6" s="11"/>
      <c r="BB6" t="s">
        <v>83</v>
      </c>
      <c r="BD6" t="s">
        <v>84</v>
      </c>
      <c r="BT6" t="s">
        <v>82</v>
      </c>
      <c r="CG6" s="13"/>
      <c r="CH6" s="26">
        <v>0.55000000000000004</v>
      </c>
      <c r="CI6">
        <v>20</v>
      </c>
      <c r="CJ6">
        <v>0.16666700000000001</v>
      </c>
      <c r="CK6" s="29">
        <f>5000000/390</f>
        <v>12820.51282051282</v>
      </c>
      <c r="CL6" s="29">
        <v>200</v>
      </c>
      <c r="CM6" s="29" t="s">
        <v>233</v>
      </c>
      <c r="CN6" t="s">
        <v>212</v>
      </c>
      <c r="CO6" s="27" t="s">
        <v>128</v>
      </c>
      <c r="CP6" t="s">
        <v>233</v>
      </c>
    </row>
    <row r="7" spans="1:94" ht="24" customHeight="1" thickBot="1" x14ac:dyDescent="0.55000000000000004">
      <c r="A7" s="2" t="s">
        <v>6</v>
      </c>
      <c r="B7" s="11"/>
      <c r="G7" s="12"/>
      <c r="K7" t="s">
        <v>77</v>
      </c>
      <c r="T7" t="s">
        <v>122</v>
      </c>
      <c r="U7" s="13" t="s">
        <v>77</v>
      </c>
      <c r="V7" s="11"/>
      <c r="Y7" t="s">
        <v>79</v>
      </c>
      <c r="AZ7" s="13"/>
      <c r="BA7" s="11"/>
      <c r="BB7" t="s">
        <v>110</v>
      </c>
      <c r="BW7" t="s">
        <v>84</v>
      </c>
      <c r="CG7" s="13"/>
      <c r="CH7" s="26">
        <v>0.6</v>
      </c>
      <c r="CI7">
        <v>15</v>
      </c>
      <c r="CJ7">
        <v>4.1666700000000001E-2</v>
      </c>
      <c r="CK7" s="29">
        <f>30000000/390</f>
        <v>76923.076923076922</v>
      </c>
      <c r="CL7" s="29">
        <v>300</v>
      </c>
      <c r="CM7" s="29" t="s">
        <v>254</v>
      </c>
      <c r="CN7" t="s">
        <v>213</v>
      </c>
      <c r="CO7" s="27" t="s">
        <v>129</v>
      </c>
      <c r="CP7" t="s">
        <v>234</v>
      </c>
    </row>
    <row r="8" spans="1:94" ht="24" customHeight="1" thickBot="1" x14ac:dyDescent="0.55000000000000004">
      <c r="A8" s="2" t="s">
        <v>7</v>
      </c>
      <c r="B8" s="11"/>
      <c r="H8" s="12"/>
      <c r="K8" t="s">
        <v>77</v>
      </c>
      <c r="T8" t="s">
        <v>122</v>
      </c>
      <c r="U8" s="13" t="s">
        <v>77</v>
      </c>
      <c r="V8" s="11"/>
      <c r="Y8" t="s">
        <v>79</v>
      </c>
      <c r="AZ8" s="13"/>
      <c r="BA8" s="11"/>
      <c r="BB8" t="s">
        <v>110</v>
      </c>
      <c r="BW8" t="s">
        <v>84</v>
      </c>
      <c r="CG8" s="13"/>
      <c r="CH8" s="26">
        <v>0.57999999999999996</v>
      </c>
      <c r="CI8">
        <v>8</v>
      </c>
      <c r="CJ8">
        <v>3.125E-2</v>
      </c>
      <c r="CK8" s="29">
        <f>12000000/390</f>
        <v>30769.23076923077</v>
      </c>
      <c r="CL8" s="29">
        <v>400</v>
      </c>
      <c r="CM8" s="29" t="s">
        <v>254</v>
      </c>
      <c r="CN8" t="s">
        <v>214</v>
      </c>
      <c r="CO8" s="27" t="s">
        <v>130</v>
      </c>
      <c r="CP8" t="s">
        <v>234</v>
      </c>
    </row>
    <row r="9" spans="1:94" ht="24" customHeight="1" thickBot="1" x14ac:dyDescent="0.55000000000000004">
      <c r="A9" s="2" t="s">
        <v>8</v>
      </c>
      <c r="B9" s="11"/>
      <c r="I9" s="12"/>
      <c r="K9" t="s">
        <v>77</v>
      </c>
      <c r="M9" t="s">
        <v>77</v>
      </c>
      <c r="T9" t="s">
        <v>122</v>
      </c>
      <c r="U9" s="13" t="s">
        <v>77</v>
      </c>
      <c r="V9" s="11"/>
      <c r="Y9" t="s">
        <v>79</v>
      </c>
      <c r="AI9" t="s">
        <v>79</v>
      </c>
      <c r="AZ9" s="13"/>
      <c r="BA9" s="11"/>
      <c r="BB9" t="s">
        <v>110</v>
      </c>
      <c r="BW9" t="s">
        <v>84</v>
      </c>
      <c r="CG9" s="13"/>
      <c r="CH9" s="26">
        <v>0.55000000000000004</v>
      </c>
      <c r="CI9">
        <v>3</v>
      </c>
      <c r="CJ9">
        <v>2.0833299999999999E-2</v>
      </c>
      <c r="CK9" s="29">
        <f>3000000/390</f>
        <v>7692.3076923076924</v>
      </c>
      <c r="CL9" s="29">
        <v>0</v>
      </c>
      <c r="CM9" s="29" t="s">
        <v>254</v>
      </c>
      <c r="CN9" t="s">
        <v>215</v>
      </c>
      <c r="CO9" s="27" t="s">
        <v>131</v>
      </c>
      <c r="CP9" t="s">
        <v>234</v>
      </c>
    </row>
    <row r="10" spans="1:94" ht="24" customHeight="1" thickBot="1" x14ac:dyDescent="0.55000000000000004">
      <c r="A10" s="2" t="s">
        <v>9</v>
      </c>
      <c r="B10" s="11" t="s">
        <v>77</v>
      </c>
      <c r="C10" t="s">
        <v>77</v>
      </c>
      <c r="D10" t="s">
        <v>77</v>
      </c>
      <c r="J10" s="12"/>
      <c r="K10" t="s">
        <v>77</v>
      </c>
      <c r="M10" t="s">
        <v>77</v>
      </c>
      <c r="T10" t="s">
        <v>122</v>
      </c>
      <c r="U10" s="13" t="s">
        <v>77</v>
      </c>
      <c r="V10" s="11"/>
      <c r="W10" t="s">
        <v>79</v>
      </c>
      <c r="AA10" t="s">
        <v>79</v>
      </c>
      <c r="AN10" t="s">
        <v>79</v>
      </c>
      <c r="AZ10" s="13"/>
      <c r="BA10" s="11"/>
      <c r="BF10" t="s">
        <v>80</v>
      </c>
      <c r="BO10" t="s">
        <v>82</v>
      </c>
      <c r="CG10" s="13"/>
      <c r="CH10" s="26">
        <v>0.62</v>
      </c>
      <c r="CI10">
        <v>0</v>
      </c>
      <c r="CJ10">
        <v>0</v>
      </c>
      <c r="CK10" s="29">
        <f>5000000/390</f>
        <v>12820.51282051282</v>
      </c>
      <c r="CL10" s="29">
        <v>0</v>
      </c>
      <c r="CM10" s="29" t="s">
        <v>255</v>
      </c>
      <c r="CN10" t="s">
        <v>216</v>
      </c>
      <c r="CO10" s="27" t="s">
        <v>132</v>
      </c>
      <c r="CP10" t="s">
        <v>235</v>
      </c>
    </row>
    <row r="11" spans="1:94" ht="24" customHeight="1" thickBot="1" x14ac:dyDescent="0.55000000000000004">
      <c r="A11" s="2" t="s">
        <v>10</v>
      </c>
      <c r="B11" s="11" t="s">
        <v>77</v>
      </c>
      <c r="C11" t="s">
        <v>77</v>
      </c>
      <c r="D11" t="s">
        <v>77</v>
      </c>
      <c r="G11" t="s">
        <v>77</v>
      </c>
      <c r="H11" t="s">
        <v>77</v>
      </c>
      <c r="I11" t="s">
        <v>77</v>
      </c>
      <c r="J11" t="s">
        <v>77</v>
      </c>
      <c r="K11" s="12"/>
      <c r="M11" t="s">
        <v>77</v>
      </c>
      <c r="T11" t="s">
        <v>122</v>
      </c>
      <c r="U11" s="13" t="s">
        <v>77</v>
      </c>
      <c r="V11" s="11" t="s">
        <v>79</v>
      </c>
      <c r="X11" t="s">
        <v>79</v>
      </c>
      <c r="AA11" t="s">
        <v>79</v>
      </c>
      <c r="AF11" t="s">
        <v>79</v>
      </c>
      <c r="AN11" t="s">
        <v>79</v>
      </c>
      <c r="AZ11" s="13"/>
      <c r="BA11" s="11"/>
      <c r="BF11" t="s">
        <v>80</v>
      </c>
      <c r="BO11" t="s">
        <v>82</v>
      </c>
      <c r="CG11" s="13"/>
      <c r="CH11" s="26">
        <v>0.45</v>
      </c>
      <c r="CI11">
        <v>0</v>
      </c>
      <c r="CJ11">
        <v>0</v>
      </c>
      <c r="CK11" s="29">
        <v>0</v>
      </c>
      <c r="CL11" s="29">
        <v>0</v>
      </c>
      <c r="CM11" s="29" t="s">
        <v>256</v>
      </c>
      <c r="CN11" t="s">
        <v>217</v>
      </c>
      <c r="CO11" s="27" t="s">
        <v>133</v>
      </c>
      <c r="CP11" t="s">
        <v>236</v>
      </c>
    </row>
    <row r="12" spans="1:94" ht="24" customHeight="1" thickBot="1" x14ac:dyDescent="0.55000000000000004">
      <c r="A12" s="2" t="s">
        <v>11</v>
      </c>
      <c r="B12" s="11"/>
      <c r="L12" s="12"/>
      <c r="T12" t="s">
        <v>122</v>
      </c>
      <c r="U12" s="13" t="s">
        <v>77</v>
      </c>
      <c r="V12" s="11"/>
      <c r="AI12" t="s">
        <v>79</v>
      </c>
      <c r="AU12" t="s">
        <v>79</v>
      </c>
      <c r="AZ12" s="13"/>
      <c r="BA12" s="11"/>
      <c r="BO12" t="s">
        <v>82</v>
      </c>
      <c r="BW12" t="s">
        <v>80</v>
      </c>
      <c r="CG12" s="13"/>
      <c r="CH12" s="26">
        <v>0.6</v>
      </c>
      <c r="CI12">
        <v>0</v>
      </c>
      <c r="CJ12">
        <v>0</v>
      </c>
      <c r="CK12" s="29">
        <f>2500000/390</f>
        <v>6410.2564102564102</v>
      </c>
      <c r="CL12" s="29">
        <v>0</v>
      </c>
      <c r="CM12" s="29" t="s">
        <v>257</v>
      </c>
      <c r="CN12" t="s">
        <v>218</v>
      </c>
      <c r="CO12" s="27" t="s">
        <v>134</v>
      </c>
      <c r="CP12" t="s">
        <v>237</v>
      </c>
    </row>
    <row r="13" spans="1:94" ht="24" customHeight="1" thickBot="1" x14ac:dyDescent="0.55000000000000004">
      <c r="A13" s="2" t="s">
        <v>12</v>
      </c>
      <c r="B13" s="11"/>
      <c r="I13" t="s">
        <v>77</v>
      </c>
      <c r="J13" t="s">
        <v>77</v>
      </c>
      <c r="K13" t="s">
        <v>77</v>
      </c>
      <c r="M13" s="12"/>
      <c r="R13" t="s">
        <v>77</v>
      </c>
      <c r="T13" t="s">
        <v>122</v>
      </c>
      <c r="U13" s="13" t="s">
        <v>77</v>
      </c>
      <c r="V13" s="11"/>
      <c r="AA13" t="s">
        <v>79</v>
      </c>
      <c r="AF13" t="s">
        <v>79</v>
      </c>
      <c r="AH13" t="s">
        <v>79</v>
      </c>
      <c r="AI13" t="s">
        <v>79</v>
      </c>
      <c r="AL13" t="s">
        <v>79</v>
      </c>
      <c r="AM13" t="s">
        <v>79</v>
      </c>
      <c r="AZ13" s="13"/>
      <c r="BA13" s="11"/>
      <c r="BB13" t="s">
        <v>110</v>
      </c>
      <c r="BH13" t="s">
        <v>84</v>
      </c>
      <c r="BO13" t="s">
        <v>82</v>
      </c>
      <c r="CG13" s="13"/>
      <c r="CH13" s="26">
        <v>0.65</v>
      </c>
      <c r="CI13">
        <v>0</v>
      </c>
      <c r="CJ13">
        <v>0</v>
      </c>
      <c r="CK13" s="29">
        <f>20000/26</f>
        <v>769.23076923076928</v>
      </c>
      <c r="CL13" s="29">
        <v>0</v>
      </c>
      <c r="CM13" s="29" t="s">
        <v>258</v>
      </c>
      <c r="CN13" t="s">
        <v>219</v>
      </c>
      <c r="CO13" s="27" t="s">
        <v>135</v>
      </c>
      <c r="CP13" t="s">
        <v>238</v>
      </c>
    </row>
    <row r="14" spans="1:94" ht="24" customHeight="1" thickBot="1" x14ac:dyDescent="0.55000000000000004">
      <c r="A14" s="2" t="s">
        <v>13</v>
      </c>
      <c r="B14" s="11"/>
      <c r="N14" s="12"/>
      <c r="T14" t="s">
        <v>77</v>
      </c>
      <c r="U14" s="13" t="s">
        <v>77</v>
      </c>
      <c r="V14" s="11"/>
      <c r="AF14" t="s">
        <v>79</v>
      </c>
      <c r="AG14" t="s">
        <v>79</v>
      </c>
      <c r="AH14" t="s">
        <v>79</v>
      </c>
      <c r="AK14" t="s">
        <v>79</v>
      </c>
      <c r="AL14" t="s">
        <v>79</v>
      </c>
      <c r="AZ14" s="13"/>
      <c r="BA14" s="11"/>
      <c r="BH14" t="s">
        <v>84</v>
      </c>
      <c r="CG14" s="13"/>
      <c r="CH14" s="26">
        <v>0.7</v>
      </c>
      <c r="CI14">
        <v>0</v>
      </c>
      <c r="CJ14">
        <v>0</v>
      </c>
      <c r="CK14" s="29">
        <f>20000/26</f>
        <v>769.23076923076928</v>
      </c>
      <c r="CL14" s="29">
        <v>0</v>
      </c>
      <c r="CM14" s="29" t="s">
        <v>259</v>
      </c>
      <c r="CN14" t="s">
        <v>220</v>
      </c>
      <c r="CO14" s="27" t="s">
        <v>136</v>
      </c>
      <c r="CP14" t="s">
        <v>239</v>
      </c>
    </row>
    <row r="15" spans="1:94" ht="24" customHeight="1" thickBot="1" x14ac:dyDescent="0.55000000000000004">
      <c r="A15" s="2" t="s">
        <v>14</v>
      </c>
      <c r="B15" s="11"/>
      <c r="O15" s="12"/>
      <c r="R15" t="s">
        <v>77</v>
      </c>
      <c r="T15" t="s">
        <v>77</v>
      </c>
      <c r="U15" s="13" t="s">
        <v>77</v>
      </c>
      <c r="V15" s="11"/>
      <c r="AG15" t="s">
        <v>79</v>
      </c>
      <c r="AH15" t="s">
        <v>79</v>
      </c>
      <c r="AJ15" t="s">
        <v>79</v>
      </c>
      <c r="AZ15" s="13"/>
      <c r="BA15" s="11"/>
      <c r="BG15" t="s">
        <v>85</v>
      </c>
      <c r="BY15" t="s">
        <v>83</v>
      </c>
      <c r="CG15" s="13"/>
      <c r="CH15" s="26">
        <v>0.75</v>
      </c>
      <c r="CI15">
        <v>0</v>
      </c>
      <c r="CJ15">
        <v>0</v>
      </c>
      <c r="CK15" s="29">
        <v>0</v>
      </c>
      <c r="CL15" s="29">
        <v>0</v>
      </c>
      <c r="CM15" s="29" t="s">
        <v>260</v>
      </c>
      <c r="CN15" t="s">
        <v>221</v>
      </c>
      <c r="CO15" s="27" t="s">
        <v>137</v>
      </c>
      <c r="CP15" t="s">
        <v>240</v>
      </c>
    </row>
    <row r="16" spans="1:94" ht="24" customHeight="1" thickBot="1" x14ac:dyDescent="0.55000000000000004">
      <c r="A16" s="2" t="s">
        <v>15</v>
      </c>
      <c r="B16" s="11"/>
      <c r="P16" s="12"/>
      <c r="R16" t="s">
        <v>77</v>
      </c>
      <c r="T16" t="s">
        <v>77</v>
      </c>
      <c r="U16" s="13" t="s">
        <v>77</v>
      </c>
      <c r="V16" s="11"/>
      <c r="AG16" t="s">
        <v>79</v>
      </c>
      <c r="AH16" t="s">
        <v>79</v>
      </c>
      <c r="AJ16" t="s">
        <v>79</v>
      </c>
      <c r="AK16" t="s">
        <v>79</v>
      </c>
      <c r="AZ16" s="13"/>
      <c r="BA16" s="11"/>
      <c r="BG16" t="s">
        <v>85</v>
      </c>
      <c r="BX16" t="s">
        <v>83</v>
      </c>
      <c r="CG16" s="13"/>
      <c r="CH16" s="26">
        <v>0.72</v>
      </c>
      <c r="CI16">
        <v>0</v>
      </c>
      <c r="CJ16">
        <v>0</v>
      </c>
      <c r="CK16" s="29">
        <v>0</v>
      </c>
      <c r="CL16" s="29">
        <v>0</v>
      </c>
      <c r="CM16" s="29" t="s">
        <v>261</v>
      </c>
      <c r="CN16" t="s">
        <v>222</v>
      </c>
      <c r="CO16" s="27" t="s">
        <v>138</v>
      </c>
      <c r="CP16" t="s">
        <v>241</v>
      </c>
    </row>
    <row r="17" spans="1:94" ht="24" customHeight="1" thickBot="1" x14ac:dyDescent="0.55000000000000004">
      <c r="A17" s="2" t="s">
        <v>16</v>
      </c>
      <c r="B17" s="11"/>
      <c r="Q17" s="12"/>
      <c r="T17" t="s">
        <v>77</v>
      </c>
      <c r="U17" s="13" t="s">
        <v>77</v>
      </c>
      <c r="V17" s="11"/>
      <c r="AQ17" t="s">
        <v>79</v>
      </c>
      <c r="AR17" t="s">
        <v>79</v>
      </c>
      <c r="AS17" t="s">
        <v>79</v>
      </c>
      <c r="AZ17" s="13"/>
      <c r="BA17" s="11"/>
      <c r="BG17" t="s">
        <v>80</v>
      </c>
      <c r="BJ17" t="s">
        <v>84</v>
      </c>
      <c r="CG17" s="13"/>
      <c r="CH17" s="26">
        <v>0.7</v>
      </c>
      <c r="CI17">
        <v>0</v>
      </c>
      <c r="CJ17">
        <v>0</v>
      </c>
      <c r="CK17" s="29">
        <v>0</v>
      </c>
      <c r="CL17" s="29">
        <v>0</v>
      </c>
      <c r="CM17" s="29" t="s">
        <v>262</v>
      </c>
      <c r="CN17" t="s">
        <v>223</v>
      </c>
      <c r="CO17" s="27" t="s">
        <v>139</v>
      </c>
      <c r="CP17" t="s">
        <v>242</v>
      </c>
    </row>
    <row r="18" spans="1:94" ht="24" customHeight="1" thickBot="1" x14ac:dyDescent="0.55000000000000004">
      <c r="A18" s="2" t="s">
        <v>17</v>
      </c>
      <c r="B18" s="11"/>
      <c r="M18" t="s">
        <v>77</v>
      </c>
      <c r="O18" t="s">
        <v>77</v>
      </c>
      <c r="P18" t="s">
        <v>77</v>
      </c>
      <c r="R18" s="12"/>
      <c r="T18" t="s">
        <v>77</v>
      </c>
      <c r="U18" s="13" t="s">
        <v>77</v>
      </c>
      <c r="V18" s="11"/>
      <c r="AG18" t="s">
        <v>79</v>
      </c>
      <c r="AJ18" t="s">
        <v>79</v>
      </c>
      <c r="AK18" t="s">
        <v>79</v>
      </c>
      <c r="AM18" t="s">
        <v>79</v>
      </c>
      <c r="AZ18" s="13"/>
      <c r="BA18" s="11"/>
      <c r="BG18" t="s">
        <v>80</v>
      </c>
      <c r="BK18" t="s">
        <v>86</v>
      </c>
      <c r="BL18" t="s">
        <v>85</v>
      </c>
      <c r="CG18" s="13"/>
      <c r="CH18" s="26">
        <v>0.45</v>
      </c>
      <c r="CI18">
        <v>0</v>
      </c>
      <c r="CJ18">
        <v>0</v>
      </c>
      <c r="CK18" s="29">
        <v>0</v>
      </c>
      <c r="CL18" s="29">
        <v>0</v>
      </c>
      <c r="CM18" s="29" t="s">
        <v>263</v>
      </c>
      <c r="CN18" t="s">
        <v>224</v>
      </c>
      <c r="CO18" s="27" t="s">
        <v>140</v>
      </c>
      <c r="CP18" t="s">
        <v>243</v>
      </c>
    </row>
    <row r="19" spans="1:94" ht="24" customHeight="1" thickBot="1" x14ac:dyDescent="0.55000000000000004">
      <c r="A19" s="2" t="s">
        <v>18</v>
      </c>
      <c r="B19" s="11"/>
      <c r="S19" s="12"/>
      <c r="T19" t="s">
        <v>122</v>
      </c>
      <c r="U19" s="13" t="s">
        <v>77</v>
      </c>
      <c r="V19" s="11"/>
      <c r="AD19" t="s">
        <v>79</v>
      </c>
      <c r="AE19" t="s">
        <v>79</v>
      </c>
      <c r="AZ19" s="13"/>
      <c r="BA19" s="11"/>
      <c r="BM19" t="s">
        <v>80</v>
      </c>
      <c r="BN19" t="s">
        <v>85</v>
      </c>
      <c r="BU19" t="s">
        <v>82</v>
      </c>
      <c r="BV19" t="s">
        <v>82</v>
      </c>
      <c r="CA19" t="s">
        <v>110</v>
      </c>
      <c r="CG19" s="13"/>
      <c r="CH19" s="26">
        <v>0.55000000000000004</v>
      </c>
      <c r="CI19">
        <v>1.5</v>
      </c>
      <c r="CJ19">
        <v>1.3888899999999999E-2</v>
      </c>
      <c r="CK19" s="29">
        <f>750000/500</f>
        <v>1500</v>
      </c>
      <c r="CL19" s="29">
        <v>50</v>
      </c>
      <c r="CM19" s="29" t="s">
        <v>264</v>
      </c>
      <c r="CN19" t="s">
        <v>225</v>
      </c>
      <c r="CO19" s="27" t="s">
        <v>141</v>
      </c>
      <c r="CP19" t="s">
        <v>244</v>
      </c>
    </row>
    <row r="20" spans="1:94" ht="24" customHeight="1" thickBot="1" x14ac:dyDescent="0.55000000000000004">
      <c r="A20" s="2" t="s">
        <v>19</v>
      </c>
      <c r="B20" t="s">
        <v>122</v>
      </c>
      <c r="C20" t="s">
        <v>122</v>
      </c>
      <c r="D20" t="s">
        <v>122</v>
      </c>
      <c r="E20" t="s">
        <v>122</v>
      </c>
      <c r="F20" t="s">
        <v>122</v>
      </c>
      <c r="G20" t="s">
        <v>122</v>
      </c>
      <c r="H20" t="s">
        <v>122</v>
      </c>
      <c r="I20" t="s">
        <v>122</v>
      </c>
      <c r="J20" t="s">
        <v>122</v>
      </c>
      <c r="K20" t="s">
        <v>122</v>
      </c>
      <c r="L20" t="s">
        <v>123</v>
      </c>
      <c r="M20" t="s">
        <v>122</v>
      </c>
      <c r="N20" t="s">
        <v>77</v>
      </c>
      <c r="O20" t="s">
        <v>77</v>
      </c>
      <c r="P20" t="s">
        <v>77</v>
      </c>
      <c r="Q20" t="s">
        <v>77</v>
      </c>
      <c r="R20" t="s">
        <v>77</v>
      </c>
      <c r="S20" t="s">
        <v>122</v>
      </c>
      <c r="T20" s="12"/>
      <c r="U20" s="13" t="s">
        <v>77</v>
      </c>
      <c r="V20" s="11"/>
      <c r="AW20" t="s">
        <v>79</v>
      </c>
      <c r="AX20" t="s">
        <v>79</v>
      </c>
      <c r="AY20" t="s">
        <v>79</v>
      </c>
      <c r="AZ20" s="13" t="s">
        <v>79</v>
      </c>
      <c r="BA20" s="11"/>
      <c r="BB20" t="s">
        <v>81</v>
      </c>
      <c r="BM20" t="s">
        <v>85</v>
      </c>
      <c r="BO20" t="s">
        <v>83</v>
      </c>
      <c r="BP20" t="s">
        <v>83</v>
      </c>
      <c r="CG20" s="13"/>
      <c r="CH20" s="26">
        <v>0.45</v>
      </c>
      <c r="CI20">
        <v>0</v>
      </c>
      <c r="CJ20">
        <v>0</v>
      </c>
      <c r="CK20" s="29">
        <f>10000000/1000</f>
        <v>10000</v>
      </c>
      <c r="CL20" s="29">
        <v>0</v>
      </c>
      <c r="CM20" s="29" t="s">
        <v>265</v>
      </c>
      <c r="CN20" t="s">
        <v>226</v>
      </c>
      <c r="CO20" s="27" t="s">
        <v>142</v>
      </c>
      <c r="CP20" t="s">
        <v>245</v>
      </c>
    </row>
    <row r="21" spans="1:94" ht="24" customHeight="1" thickBot="1" x14ac:dyDescent="0.55000000000000004">
      <c r="A21" s="2" t="s">
        <v>20</v>
      </c>
      <c r="B21" s="14" t="s">
        <v>77</v>
      </c>
      <c r="C21" s="15" t="s">
        <v>77</v>
      </c>
      <c r="D21" s="15" t="s">
        <v>77</v>
      </c>
      <c r="E21" s="15" t="s">
        <v>77</v>
      </c>
      <c r="F21" s="15" t="s">
        <v>77</v>
      </c>
      <c r="G21" s="15" t="s">
        <v>77</v>
      </c>
      <c r="H21" s="15" t="s">
        <v>77</v>
      </c>
      <c r="I21" s="15" t="s">
        <v>77</v>
      </c>
      <c r="J21" s="15" t="s">
        <v>77</v>
      </c>
      <c r="K21" s="15" t="s">
        <v>77</v>
      </c>
      <c r="L21" s="15" t="s">
        <v>77</v>
      </c>
      <c r="M21" s="15" t="s">
        <v>77</v>
      </c>
      <c r="N21" s="15" t="s">
        <v>77</v>
      </c>
      <c r="O21" s="15" t="s">
        <v>77</v>
      </c>
      <c r="P21" s="15" t="s">
        <v>77</v>
      </c>
      <c r="Q21" s="15" t="s">
        <v>77</v>
      </c>
      <c r="R21" s="15" t="s">
        <v>77</v>
      </c>
      <c r="S21" s="15" t="s">
        <v>77</v>
      </c>
      <c r="T21" s="15" t="s">
        <v>77</v>
      </c>
      <c r="U21" s="16"/>
      <c r="V21" s="14" t="s">
        <v>79</v>
      </c>
      <c r="W21" s="15"/>
      <c r="X21" s="15"/>
      <c r="Y21" s="15"/>
      <c r="Z21" s="15"/>
      <c r="AA21" s="15"/>
      <c r="AB21" s="15" t="s">
        <v>79</v>
      </c>
      <c r="AC21" s="15" t="s">
        <v>79</v>
      </c>
      <c r="AD21" s="15"/>
      <c r="AE21" s="15"/>
      <c r="AF21" s="15"/>
      <c r="AG21" s="15"/>
      <c r="AH21" s="15"/>
      <c r="AI21" s="15"/>
      <c r="AJ21" s="15"/>
      <c r="AK21" s="15"/>
      <c r="AL21" s="15" t="s">
        <v>79</v>
      </c>
      <c r="AM21" s="15" t="s">
        <v>79</v>
      </c>
      <c r="AN21" s="15" t="s">
        <v>79</v>
      </c>
      <c r="AO21" s="15" t="s">
        <v>79</v>
      </c>
      <c r="AP21" s="15" t="s">
        <v>79</v>
      </c>
      <c r="AQ21" s="15" t="s">
        <v>79</v>
      </c>
      <c r="AR21" s="15" t="s">
        <v>79</v>
      </c>
      <c r="AS21" s="15" t="s">
        <v>79</v>
      </c>
      <c r="AT21" s="15" t="s">
        <v>79</v>
      </c>
      <c r="AU21" s="15"/>
      <c r="AV21" s="15"/>
      <c r="AW21" s="15"/>
      <c r="AX21" s="15"/>
      <c r="AY21" s="15"/>
      <c r="AZ21" s="18"/>
      <c r="BA21" s="14"/>
      <c r="BB21" s="15" t="s">
        <v>118</v>
      </c>
      <c r="BC21" s="15"/>
      <c r="BD21" s="15"/>
      <c r="BE21" s="15"/>
      <c r="BF21" s="15"/>
      <c r="BG21" s="15"/>
      <c r="BH21" s="15"/>
      <c r="BI21" s="15" t="s">
        <v>84</v>
      </c>
      <c r="BJ21" s="15" t="s">
        <v>80</v>
      </c>
      <c r="BK21" s="15"/>
      <c r="BL21" s="15" t="s">
        <v>85</v>
      </c>
      <c r="BM21" s="15"/>
      <c r="BN21" s="15"/>
      <c r="BO21" s="15" t="s">
        <v>83</v>
      </c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 t="s">
        <v>81</v>
      </c>
      <c r="CB21" s="15"/>
      <c r="CC21" s="15"/>
      <c r="CD21" s="15"/>
      <c r="CE21" s="15"/>
      <c r="CF21" s="15"/>
      <c r="CG21" s="18"/>
      <c r="CH21" s="26">
        <v>0.4</v>
      </c>
      <c r="CI21">
        <v>0</v>
      </c>
      <c r="CJ21">
        <v>0</v>
      </c>
      <c r="CK21" s="29">
        <f>20000000/1000</f>
        <v>20000</v>
      </c>
      <c r="CL21" s="29">
        <v>0</v>
      </c>
      <c r="CM21" s="29" t="s">
        <v>266</v>
      </c>
      <c r="CN21" t="s">
        <v>227</v>
      </c>
      <c r="CO21" s="27" t="s">
        <v>143</v>
      </c>
      <c r="CP21" t="s">
        <v>246</v>
      </c>
    </row>
    <row r="22" spans="1:94" ht="24" customHeight="1" thickBot="1" x14ac:dyDescent="0.55000000000000004">
      <c r="A22" s="3" t="s">
        <v>21</v>
      </c>
      <c r="B22" s="17"/>
      <c r="C22" s="9"/>
      <c r="D22" s="9"/>
      <c r="E22" s="9"/>
      <c r="F22" s="9"/>
      <c r="G22" s="9"/>
      <c r="H22" s="9"/>
      <c r="I22" s="9"/>
      <c r="J22" s="9"/>
      <c r="K22" s="9" t="s">
        <v>79</v>
      </c>
      <c r="L22" s="9"/>
      <c r="M22" s="9"/>
      <c r="N22" s="9"/>
      <c r="O22" s="9"/>
      <c r="P22" s="9"/>
      <c r="Q22" s="9"/>
      <c r="R22" s="9"/>
      <c r="S22" s="9"/>
      <c r="T22" s="9"/>
      <c r="U22" s="10" t="s">
        <v>79</v>
      </c>
      <c r="V22" s="8"/>
      <c r="W22" s="9" t="s">
        <v>76</v>
      </c>
      <c r="X22" s="9"/>
      <c r="Y22" s="9" t="s">
        <v>76</v>
      </c>
      <c r="Z22" s="9" t="s">
        <v>76</v>
      </c>
      <c r="AA22" s="9" t="s">
        <v>76</v>
      </c>
      <c r="AB22" s="9" t="s">
        <v>76</v>
      </c>
      <c r="AC22" s="9"/>
      <c r="AD22" s="9"/>
      <c r="AE22" s="9"/>
      <c r="AF22" s="9" t="s">
        <v>76</v>
      </c>
      <c r="AG22" s="9"/>
      <c r="AH22" s="9"/>
      <c r="AI22" s="9" t="s">
        <v>76</v>
      </c>
      <c r="AJ22" s="9"/>
      <c r="AK22" s="9" t="s">
        <v>76</v>
      </c>
      <c r="AL22" s="9" t="s">
        <v>76</v>
      </c>
      <c r="AM22" s="9" t="s">
        <v>76</v>
      </c>
      <c r="AN22" s="9"/>
      <c r="AO22" s="9"/>
      <c r="AP22" s="9"/>
      <c r="AQ22" s="9"/>
      <c r="AR22" s="9"/>
      <c r="AS22" s="9"/>
      <c r="AT22" s="9"/>
      <c r="AU22" s="9" t="s">
        <v>76</v>
      </c>
      <c r="AV22" s="9"/>
      <c r="AW22" s="9"/>
      <c r="AX22" s="9"/>
      <c r="AY22" s="9"/>
      <c r="AZ22" s="10"/>
      <c r="BA22" s="17" t="s">
        <v>87</v>
      </c>
      <c r="BB22" s="9" t="s">
        <v>119</v>
      </c>
      <c r="BC22" s="9"/>
      <c r="BD22" s="9" t="s">
        <v>83</v>
      </c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 t="s">
        <v>103</v>
      </c>
      <c r="BP22" s="9"/>
      <c r="BQ22" s="9"/>
      <c r="BR22" s="9"/>
      <c r="BS22" s="9"/>
      <c r="BT22" s="9" t="s">
        <v>83</v>
      </c>
      <c r="BU22" s="9" t="s">
        <v>83</v>
      </c>
      <c r="BV22" s="9" t="s">
        <v>83</v>
      </c>
      <c r="BW22" s="9" t="s">
        <v>83</v>
      </c>
      <c r="BX22" s="9"/>
      <c r="BY22" s="9"/>
      <c r="BZ22" s="9"/>
      <c r="CA22" s="9"/>
      <c r="CB22" s="9"/>
      <c r="CC22" s="9"/>
      <c r="CD22" s="9"/>
      <c r="CE22" s="9"/>
      <c r="CF22" s="9"/>
      <c r="CG22" s="10"/>
      <c r="CH22" s="26">
        <v>0.3</v>
      </c>
      <c r="CO22" s="27" t="s">
        <v>144</v>
      </c>
    </row>
    <row r="23" spans="1:94" ht="24" customHeight="1" thickBot="1" x14ac:dyDescent="0.55000000000000004">
      <c r="A23" s="3" t="s">
        <v>22</v>
      </c>
      <c r="B23" s="11"/>
      <c r="J23" t="s">
        <v>79</v>
      </c>
      <c r="U23" s="13"/>
      <c r="V23" s="11"/>
      <c r="W23" s="12"/>
      <c r="Y23" t="s">
        <v>76</v>
      </c>
      <c r="Z23" t="s">
        <v>76</v>
      </c>
      <c r="AZ23" s="13"/>
      <c r="BA23" s="11" t="s">
        <v>87</v>
      </c>
      <c r="BO23" t="s">
        <v>103</v>
      </c>
      <c r="CG23" s="13"/>
      <c r="CH23" s="26">
        <v>0.45</v>
      </c>
      <c r="CO23" s="27" t="s">
        <v>145</v>
      </c>
    </row>
    <row r="24" spans="1:94" ht="24" customHeight="1" thickBot="1" x14ac:dyDescent="0.55000000000000004">
      <c r="A24" s="3" t="s">
        <v>23</v>
      </c>
      <c r="B24" s="11"/>
      <c r="K24" t="s">
        <v>79</v>
      </c>
      <c r="U24" s="13"/>
      <c r="V24" s="11"/>
      <c r="X24" s="12"/>
      <c r="Y24" t="s">
        <v>76</v>
      </c>
      <c r="Z24" t="s">
        <v>76</v>
      </c>
      <c r="AA24" t="s">
        <v>76</v>
      </c>
      <c r="AB24" t="s">
        <v>76</v>
      </c>
      <c r="AF24" t="s">
        <v>76</v>
      </c>
      <c r="AI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V24" t="s">
        <v>76</v>
      </c>
      <c r="AZ24" s="13"/>
      <c r="BA24" s="11" t="s">
        <v>87</v>
      </c>
      <c r="BO24" t="s">
        <v>103</v>
      </c>
      <c r="CG24" s="13"/>
      <c r="CH24" s="26">
        <v>0.35</v>
      </c>
      <c r="CO24" s="27" t="s">
        <v>146</v>
      </c>
    </row>
    <row r="25" spans="1:94" ht="24" customHeight="1" thickBot="1" x14ac:dyDescent="0.55000000000000004">
      <c r="A25" s="3" t="s">
        <v>24</v>
      </c>
      <c r="B25" s="11"/>
      <c r="E25" t="s">
        <v>79</v>
      </c>
      <c r="G25" t="s">
        <v>79</v>
      </c>
      <c r="H25" t="s">
        <v>79</v>
      </c>
      <c r="I25" t="s">
        <v>79</v>
      </c>
      <c r="U25" s="13"/>
      <c r="V25" s="11"/>
      <c r="Y25" s="12"/>
      <c r="AA25" t="s">
        <v>76</v>
      </c>
      <c r="AB25" t="s">
        <v>76</v>
      </c>
      <c r="AY25" t="s">
        <v>76</v>
      </c>
      <c r="AZ25" s="13"/>
      <c r="BA25" s="11" t="s">
        <v>87</v>
      </c>
      <c r="BD25" t="s">
        <v>83</v>
      </c>
      <c r="BO25" t="s">
        <v>103</v>
      </c>
      <c r="BT25" t="s">
        <v>83</v>
      </c>
      <c r="BU25" t="s">
        <v>83</v>
      </c>
      <c r="BV25" t="s">
        <v>83</v>
      </c>
      <c r="BW25" t="s">
        <v>83</v>
      </c>
      <c r="CG25" s="13"/>
      <c r="CH25" s="26">
        <v>0.6</v>
      </c>
      <c r="CO25" s="27" t="s">
        <v>147</v>
      </c>
    </row>
    <row r="26" spans="1:94" ht="24" customHeight="1" thickBot="1" x14ac:dyDescent="0.55000000000000004">
      <c r="A26" s="3" t="s">
        <v>25</v>
      </c>
      <c r="B26" s="11" t="s">
        <v>79</v>
      </c>
      <c r="C26" t="s">
        <v>79</v>
      </c>
      <c r="D26" t="s">
        <v>79</v>
      </c>
      <c r="F26" t="s">
        <v>79</v>
      </c>
      <c r="U26" s="13"/>
      <c r="V26" s="11"/>
      <c r="Z26" s="12"/>
      <c r="AA26" t="s">
        <v>76</v>
      </c>
      <c r="AB26" t="s">
        <v>76</v>
      </c>
      <c r="AY26" t="s">
        <v>76</v>
      </c>
      <c r="AZ26" s="13"/>
      <c r="BA26" s="11" t="s">
        <v>87</v>
      </c>
      <c r="BD26" t="s">
        <v>83</v>
      </c>
      <c r="BO26" t="s">
        <v>103</v>
      </c>
      <c r="BT26" t="s">
        <v>83</v>
      </c>
      <c r="BU26" t="s">
        <v>83</v>
      </c>
      <c r="BV26" t="s">
        <v>83</v>
      </c>
      <c r="BW26" t="s">
        <v>83</v>
      </c>
      <c r="CG26" s="13"/>
      <c r="CH26" s="26">
        <v>0.6</v>
      </c>
      <c r="CO26" s="27" t="s">
        <v>148</v>
      </c>
    </row>
    <row r="27" spans="1:94" ht="24" customHeight="1" thickBot="1" x14ac:dyDescent="0.55000000000000004">
      <c r="A27" s="3" t="s">
        <v>26</v>
      </c>
      <c r="B27" s="11"/>
      <c r="J27" t="s">
        <v>79</v>
      </c>
      <c r="K27" t="s">
        <v>79</v>
      </c>
      <c r="M27" t="s">
        <v>79</v>
      </c>
      <c r="U27" s="13"/>
      <c r="V27" s="11"/>
      <c r="AA27" s="12"/>
      <c r="AM27" t="s">
        <v>76</v>
      </c>
      <c r="AZ27" s="13"/>
      <c r="BA27" s="11" t="s">
        <v>87</v>
      </c>
      <c r="BD27" t="s">
        <v>83</v>
      </c>
      <c r="BO27" t="s">
        <v>103</v>
      </c>
      <c r="BT27" t="s">
        <v>83</v>
      </c>
      <c r="BU27" t="s">
        <v>83</v>
      </c>
      <c r="BV27" t="s">
        <v>83</v>
      </c>
      <c r="BW27" t="s">
        <v>83</v>
      </c>
      <c r="CG27" s="13"/>
      <c r="CH27" s="26">
        <v>0.5</v>
      </c>
      <c r="CO27" s="27" t="s">
        <v>149</v>
      </c>
    </row>
    <row r="28" spans="1:94" ht="24" customHeight="1" thickBot="1" x14ac:dyDescent="0.55000000000000004">
      <c r="A28" s="3" t="s">
        <v>27</v>
      </c>
      <c r="B28" s="11"/>
      <c r="U28" s="13" t="s">
        <v>79</v>
      </c>
      <c r="V28" s="11"/>
      <c r="AB28" s="12"/>
      <c r="AW28" t="s">
        <v>76</v>
      </c>
      <c r="AX28" t="s">
        <v>76</v>
      </c>
      <c r="AY28" t="s">
        <v>76</v>
      </c>
      <c r="AZ28" s="13"/>
      <c r="BA28" s="11" t="s">
        <v>87</v>
      </c>
      <c r="BD28" t="s">
        <v>83</v>
      </c>
      <c r="BO28" t="s">
        <v>103</v>
      </c>
      <c r="BT28" t="s">
        <v>83</v>
      </c>
      <c r="BU28" t="s">
        <v>83</v>
      </c>
      <c r="BV28" t="s">
        <v>83</v>
      </c>
      <c r="BW28" t="s">
        <v>83</v>
      </c>
      <c r="CG28" s="13"/>
      <c r="CH28" s="26">
        <v>0.45</v>
      </c>
      <c r="CO28" s="27" t="s">
        <v>150</v>
      </c>
    </row>
    <row r="29" spans="1:94" ht="24" customHeight="1" thickBot="1" x14ac:dyDescent="0.55000000000000004">
      <c r="A29" s="3" t="s">
        <v>28</v>
      </c>
      <c r="B29" s="11"/>
      <c r="U29" s="13" t="s">
        <v>79</v>
      </c>
      <c r="V29" s="11"/>
      <c r="AC29" s="12"/>
      <c r="AD29" t="s">
        <v>76</v>
      </c>
      <c r="AE29" t="s">
        <v>76</v>
      </c>
      <c r="AK29" t="s">
        <v>76</v>
      </c>
      <c r="AL29" t="s">
        <v>76</v>
      </c>
      <c r="AM29" t="s">
        <v>76</v>
      </c>
      <c r="AT29" t="s">
        <v>76</v>
      </c>
      <c r="AZ29" s="13"/>
      <c r="BA29" s="11" t="s">
        <v>87</v>
      </c>
      <c r="BD29" t="s">
        <v>83</v>
      </c>
      <c r="BO29" t="s">
        <v>103</v>
      </c>
      <c r="BT29" t="s">
        <v>83</v>
      </c>
      <c r="BU29" t="s">
        <v>83</v>
      </c>
      <c r="BV29" t="s">
        <v>83</v>
      </c>
      <c r="BW29" t="s">
        <v>83</v>
      </c>
      <c r="CG29" s="13"/>
      <c r="CH29" s="26">
        <v>0.4</v>
      </c>
      <c r="CO29" s="27" t="s">
        <v>151</v>
      </c>
    </row>
    <row r="30" spans="1:94" ht="24" customHeight="1" thickBot="1" x14ac:dyDescent="0.55000000000000004">
      <c r="A30" s="3" t="s">
        <v>29</v>
      </c>
      <c r="B30" s="11"/>
      <c r="S30" t="s">
        <v>79</v>
      </c>
      <c r="U30" s="13"/>
      <c r="V30" s="11"/>
      <c r="AD30" s="12"/>
      <c r="AE30" t="s">
        <v>76</v>
      </c>
      <c r="AK30" t="s">
        <v>76</v>
      </c>
      <c r="AZ30" s="13"/>
      <c r="BA30" s="11" t="s">
        <v>87</v>
      </c>
      <c r="BO30" t="s">
        <v>103</v>
      </c>
      <c r="CG30" s="13"/>
      <c r="CH30" s="26">
        <v>0.55000000000000004</v>
      </c>
      <c r="CO30" s="27" t="s">
        <v>152</v>
      </c>
    </row>
    <row r="31" spans="1:94" ht="24" customHeight="1" thickBot="1" x14ac:dyDescent="0.55000000000000004">
      <c r="A31" s="3" t="s">
        <v>30</v>
      </c>
      <c r="B31" s="11"/>
      <c r="S31" t="s">
        <v>79</v>
      </c>
      <c r="U31" s="13"/>
      <c r="V31" s="11"/>
      <c r="AD31" t="s">
        <v>76</v>
      </c>
      <c r="AE31" s="12"/>
      <c r="AK31" t="s">
        <v>76</v>
      </c>
      <c r="AY31" t="s">
        <v>76</v>
      </c>
      <c r="AZ31" s="13"/>
      <c r="BA31" s="11" t="s">
        <v>87</v>
      </c>
      <c r="BO31" t="s">
        <v>103</v>
      </c>
      <c r="CG31" s="13"/>
      <c r="CH31" s="26">
        <v>0.55000000000000004</v>
      </c>
      <c r="CO31" s="27" t="s">
        <v>153</v>
      </c>
    </row>
    <row r="32" spans="1:94" ht="24" customHeight="1" thickBot="1" x14ac:dyDescent="0.55000000000000004">
      <c r="A32" s="3" t="s">
        <v>31</v>
      </c>
      <c r="B32" s="11"/>
      <c r="K32" t="s">
        <v>79</v>
      </c>
      <c r="M32" t="s">
        <v>79</v>
      </c>
      <c r="N32" t="s">
        <v>79</v>
      </c>
      <c r="U32" s="13"/>
      <c r="V32" s="11" t="s">
        <v>76</v>
      </c>
      <c r="W32" t="s">
        <v>76</v>
      </c>
      <c r="Y32" t="s">
        <v>76</v>
      </c>
      <c r="Z32" t="s">
        <v>76</v>
      </c>
      <c r="AA32" t="s">
        <v>76</v>
      </c>
      <c r="AC32" t="s">
        <v>76</v>
      </c>
      <c r="AD32" t="s">
        <v>76</v>
      </c>
      <c r="AE32" t="s">
        <v>76</v>
      </c>
      <c r="AF32" s="12"/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Z32" s="13"/>
      <c r="BA32" s="11" t="s">
        <v>87</v>
      </c>
      <c r="BG32" t="s">
        <v>102</v>
      </c>
      <c r="BH32" t="s">
        <v>102</v>
      </c>
      <c r="BI32" t="s">
        <v>102</v>
      </c>
      <c r="BO32" t="s">
        <v>103</v>
      </c>
      <c r="BX32" t="s">
        <v>102</v>
      </c>
      <c r="BY32" t="s">
        <v>102</v>
      </c>
      <c r="CG32" s="13"/>
      <c r="CH32" s="26">
        <v>0.45</v>
      </c>
      <c r="CO32" s="27" t="s">
        <v>154</v>
      </c>
    </row>
    <row r="33" spans="1:93" ht="24" customHeight="1" thickBot="1" x14ac:dyDescent="0.55000000000000004">
      <c r="A33" s="3" t="s">
        <v>32</v>
      </c>
      <c r="B33" s="11"/>
      <c r="N33" t="s">
        <v>79</v>
      </c>
      <c r="O33" t="s">
        <v>79</v>
      </c>
      <c r="P33" t="s">
        <v>79</v>
      </c>
      <c r="R33" t="s">
        <v>79</v>
      </c>
      <c r="U33" s="13"/>
      <c r="V33" s="11"/>
      <c r="AC33" t="s">
        <v>76</v>
      </c>
      <c r="AD33" t="s">
        <v>76</v>
      </c>
      <c r="AG33" s="12"/>
      <c r="AH33" t="s">
        <v>76</v>
      </c>
      <c r="AI33" t="s">
        <v>76</v>
      </c>
      <c r="AJ33" t="s">
        <v>76</v>
      </c>
      <c r="AK33" t="s">
        <v>76</v>
      </c>
      <c r="AN33" t="s">
        <v>76</v>
      </c>
      <c r="AO33" t="s">
        <v>76</v>
      </c>
      <c r="AQ33" t="s">
        <v>76</v>
      </c>
      <c r="AZ33" s="13"/>
      <c r="BA33" s="11" t="s">
        <v>87</v>
      </c>
      <c r="BG33" t="s">
        <v>102</v>
      </c>
      <c r="BH33" t="s">
        <v>102</v>
      </c>
      <c r="BI33" t="s">
        <v>102</v>
      </c>
      <c r="BO33" t="s">
        <v>103</v>
      </c>
      <c r="BX33" t="s">
        <v>102</v>
      </c>
      <c r="BY33" t="s">
        <v>102</v>
      </c>
      <c r="CG33" s="13"/>
      <c r="CH33" s="26">
        <v>0.5</v>
      </c>
      <c r="CO33" s="27" t="s">
        <v>155</v>
      </c>
    </row>
    <row r="34" spans="1:93" ht="24" customHeight="1" thickBot="1" x14ac:dyDescent="0.55000000000000004">
      <c r="A34" s="3" t="s">
        <v>33</v>
      </c>
      <c r="B34" s="11"/>
      <c r="M34" t="s">
        <v>79</v>
      </c>
      <c r="N34" t="s">
        <v>79</v>
      </c>
      <c r="O34" t="s">
        <v>79</v>
      </c>
      <c r="P34" t="s">
        <v>79</v>
      </c>
      <c r="U34" s="13"/>
      <c r="V34" s="11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C34" t="s">
        <v>76</v>
      </c>
      <c r="AD34" t="s">
        <v>76</v>
      </c>
      <c r="AE34" t="s">
        <v>76</v>
      </c>
      <c r="AF34" t="s">
        <v>76</v>
      </c>
      <c r="AH34" s="12"/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T34" t="s">
        <v>76</v>
      </c>
      <c r="AU34" t="s">
        <v>76</v>
      </c>
      <c r="AV34" t="s">
        <v>76</v>
      </c>
      <c r="AY34" t="s">
        <v>76</v>
      </c>
      <c r="AZ34" s="13"/>
      <c r="BA34" s="11" t="s">
        <v>87</v>
      </c>
      <c r="BG34" t="s">
        <v>102</v>
      </c>
      <c r="BH34" t="s">
        <v>102</v>
      </c>
      <c r="BI34" t="s">
        <v>102</v>
      </c>
      <c r="BO34" t="s">
        <v>103</v>
      </c>
      <c r="BX34" t="s">
        <v>102</v>
      </c>
      <c r="BY34" t="s">
        <v>102</v>
      </c>
      <c r="CG34" s="13"/>
      <c r="CH34" s="26">
        <v>0.55000000000000004</v>
      </c>
      <c r="CO34" s="27" t="s">
        <v>156</v>
      </c>
    </row>
    <row r="35" spans="1:93" ht="24" customHeight="1" thickBot="1" x14ac:dyDescent="0.55000000000000004">
      <c r="A35" s="3" t="s">
        <v>34</v>
      </c>
      <c r="B35" s="11"/>
      <c r="I35" t="s">
        <v>79</v>
      </c>
      <c r="L35" t="s">
        <v>79</v>
      </c>
      <c r="M35" t="s">
        <v>79</v>
      </c>
      <c r="U35" s="13"/>
      <c r="V35" s="11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C35" t="s">
        <v>76</v>
      </c>
      <c r="AD35" t="s">
        <v>76</v>
      </c>
      <c r="AE35" t="s">
        <v>76</v>
      </c>
      <c r="AF35" t="s">
        <v>76</v>
      </c>
      <c r="AI35" s="12"/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T35" t="s">
        <v>76</v>
      </c>
      <c r="AU35" t="s">
        <v>76</v>
      </c>
      <c r="AV35" t="s">
        <v>76</v>
      </c>
      <c r="AY35" t="s">
        <v>76</v>
      </c>
      <c r="AZ35" s="13"/>
      <c r="BA35" s="11" t="s">
        <v>87</v>
      </c>
      <c r="BG35" t="s">
        <v>102</v>
      </c>
      <c r="BH35" t="s">
        <v>102</v>
      </c>
      <c r="BI35" t="s">
        <v>102</v>
      </c>
      <c r="BO35" t="s">
        <v>103</v>
      </c>
      <c r="BX35" t="s">
        <v>102</v>
      </c>
      <c r="BY35" t="s">
        <v>102</v>
      </c>
      <c r="CG35" s="13"/>
      <c r="CH35" s="26">
        <v>0.5</v>
      </c>
      <c r="CO35" s="27" t="s">
        <v>157</v>
      </c>
    </row>
    <row r="36" spans="1:93" ht="24" customHeight="1" thickBot="1" x14ac:dyDescent="0.55000000000000004">
      <c r="A36" s="3" t="s">
        <v>35</v>
      </c>
      <c r="B36" s="11"/>
      <c r="O36" t="s">
        <v>79</v>
      </c>
      <c r="P36" t="s">
        <v>79</v>
      </c>
      <c r="R36" t="s">
        <v>79</v>
      </c>
      <c r="U36" s="13"/>
      <c r="V36" s="11" t="s">
        <v>76</v>
      </c>
      <c r="W36" t="s">
        <v>76</v>
      </c>
      <c r="X36" t="s">
        <v>76</v>
      </c>
      <c r="Y36" t="s">
        <v>76</v>
      </c>
      <c r="Z36" t="s">
        <v>76</v>
      </c>
      <c r="AC36" t="s">
        <v>76</v>
      </c>
      <c r="AD36" t="s">
        <v>76</v>
      </c>
      <c r="AE36" t="s">
        <v>76</v>
      </c>
      <c r="AG36" t="s">
        <v>76</v>
      </c>
      <c r="AJ36" s="12"/>
      <c r="AN36" t="s">
        <v>76</v>
      </c>
      <c r="AO36" t="s">
        <v>76</v>
      </c>
      <c r="AP36" t="s">
        <v>76</v>
      </c>
      <c r="AQ36" t="s">
        <v>76</v>
      </c>
      <c r="AU36" t="s">
        <v>76</v>
      </c>
      <c r="AV36" t="s">
        <v>76</v>
      </c>
      <c r="AZ36" s="13"/>
      <c r="BA36" s="11" t="s">
        <v>87</v>
      </c>
      <c r="BG36" t="s">
        <v>102</v>
      </c>
      <c r="BH36" t="s">
        <v>102</v>
      </c>
      <c r="BI36" t="s">
        <v>102</v>
      </c>
      <c r="BO36" t="s">
        <v>103</v>
      </c>
      <c r="BX36" t="s">
        <v>102</v>
      </c>
      <c r="BY36" t="s">
        <v>102</v>
      </c>
      <c r="CG36" s="13"/>
      <c r="CH36" s="26">
        <v>0.5</v>
      </c>
      <c r="CO36" s="27" t="s">
        <v>158</v>
      </c>
    </row>
    <row r="37" spans="1:93" ht="24" customHeight="1" thickBot="1" x14ac:dyDescent="0.55000000000000004">
      <c r="A37" s="3" t="s">
        <v>36</v>
      </c>
      <c r="B37" s="11"/>
      <c r="N37" t="s">
        <v>79</v>
      </c>
      <c r="P37" t="s">
        <v>79</v>
      </c>
      <c r="R37" t="s">
        <v>79</v>
      </c>
      <c r="U37" s="13"/>
      <c r="V37" s="11" t="s">
        <v>76</v>
      </c>
      <c r="W37" t="s">
        <v>76</v>
      </c>
      <c r="X37" t="s">
        <v>76</v>
      </c>
      <c r="Y37" t="s">
        <v>76</v>
      </c>
      <c r="Z37" t="s">
        <v>76</v>
      </c>
      <c r="AC37" t="s">
        <v>76</v>
      </c>
      <c r="AD37" t="s">
        <v>76</v>
      </c>
      <c r="AE37" t="s">
        <v>76</v>
      </c>
      <c r="AF37" t="s">
        <v>76</v>
      </c>
      <c r="AJ37" t="s">
        <v>76</v>
      </c>
      <c r="AK37" s="12"/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U37" t="s">
        <v>76</v>
      </c>
      <c r="AV37" t="s">
        <v>76</v>
      </c>
      <c r="AZ37" s="13"/>
      <c r="BA37" s="11" t="s">
        <v>87</v>
      </c>
      <c r="BG37" t="s">
        <v>102</v>
      </c>
      <c r="BH37" t="s">
        <v>102</v>
      </c>
      <c r="BI37" t="s">
        <v>102</v>
      </c>
      <c r="BO37" t="s">
        <v>103</v>
      </c>
      <c r="BX37" t="s">
        <v>102</v>
      </c>
      <c r="BY37" t="s">
        <v>102</v>
      </c>
      <c r="CG37" s="13"/>
      <c r="CH37" s="26">
        <v>0.4</v>
      </c>
      <c r="CO37" s="27" t="s">
        <v>159</v>
      </c>
    </row>
    <row r="38" spans="1:93" ht="24" customHeight="1" thickBot="1" x14ac:dyDescent="0.55000000000000004">
      <c r="A38" s="3" t="s">
        <v>37</v>
      </c>
      <c r="B38" s="11"/>
      <c r="M38" t="s">
        <v>79</v>
      </c>
      <c r="N38" t="s">
        <v>79</v>
      </c>
      <c r="U38" s="13" t="s">
        <v>79</v>
      </c>
      <c r="V38" s="11"/>
      <c r="AG38" t="s">
        <v>76</v>
      </c>
      <c r="AJ38" t="s">
        <v>76</v>
      </c>
      <c r="AL38" s="12"/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Z38" s="13"/>
      <c r="BA38" s="11" t="s">
        <v>87</v>
      </c>
      <c r="BB38" t="s">
        <v>119</v>
      </c>
      <c r="BG38" t="s">
        <v>102</v>
      </c>
      <c r="BH38" t="s">
        <v>102</v>
      </c>
      <c r="BI38" t="s">
        <v>102</v>
      </c>
      <c r="BO38" t="s">
        <v>103</v>
      </c>
      <c r="BX38" t="s">
        <v>102</v>
      </c>
      <c r="BY38" t="s">
        <v>102</v>
      </c>
      <c r="CG38" s="13"/>
      <c r="CH38" s="26">
        <v>0.35</v>
      </c>
      <c r="CO38" s="27" t="s">
        <v>160</v>
      </c>
    </row>
    <row r="39" spans="1:93" ht="24" customHeight="1" thickBot="1" x14ac:dyDescent="0.55000000000000004">
      <c r="A39" s="3" t="s">
        <v>38</v>
      </c>
      <c r="B39" s="11"/>
      <c r="M39" t="s">
        <v>79</v>
      </c>
      <c r="R39" t="s">
        <v>79</v>
      </c>
      <c r="U39" s="13" t="s">
        <v>79</v>
      </c>
      <c r="V39" s="11"/>
      <c r="AG39" t="s">
        <v>76</v>
      </c>
      <c r="AJ39" t="s">
        <v>76</v>
      </c>
      <c r="AM39" s="12"/>
      <c r="AO39" t="s">
        <v>76</v>
      </c>
      <c r="AP39" t="s">
        <v>76</v>
      </c>
      <c r="AQ39" t="s">
        <v>76</v>
      </c>
      <c r="AZ39" s="13"/>
      <c r="BA39" s="11" t="s">
        <v>87</v>
      </c>
      <c r="BG39" t="s">
        <v>102</v>
      </c>
      <c r="BH39" t="s">
        <v>102</v>
      </c>
      <c r="BI39" t="s">
        <v>102</v>
      </c>
      <c r="BO39" t="s">
        <v>103</v>
      </c>
      <c r="BX39" t="s">
        <v>102</v>
      </c>
      <c r="BY39" t="s">
        <v>102</v>
      </c>
      <c r="CA39" t="s">
        <v>87</v>
      </c>
      <c r="CG39" s="13"/>
      <c r="CH39" s="26">
        <v>0.3</v>
      </c>
      <c r="CO39" s="27" t="s">
        <v>161</v>
      </c>
    </row>
    <row r="40" spans="1:93" ht="24" customHeight="1" thickBot="1" x14ac:dyDescent="0.55000000000000004">
      <c r="A40" s="3" t="s">
        <v>39</v>
      </c>
      <c r="B40" s="11"/>
      <c r="J40" t="s">
        <v>79</v>
      </c>
      <c r="K40" t="s">
        <v>79</v>
      </c>
      <c r="U40" s="13" t="s">
        <v>79</v>
      </c>
      <c r="V40" s="11" t="s">
        <v>76</v>
      </c>
      <c r="W40" t="s">
        <v>76</v>
      </c>
      <c r="AA40" t="s">
        <v>76</v>
      </c>
      <c r="AB40" t="s">
        <v>76</v>
      </c>
      <c r="AC40" t="s">
        <v>76</v>
      </c>
      <c r="AD40" t="s">
        <v>76</v>
      </c>
      <c r="AN40" s="12"/>
      <c r="AO40" t="s">
        <v>76</v>
      </c>
      <c r="AT40" t="s">
        <v>76</v>
      </c>
      <c r="AU40" t="s">
        <v>76</v>
      </c>
      <c r="AV40" t="s">
        <v>76</v>
      </c>
      <c r="AZ40" s="13" t="s">
        <v>76</v>
      </c>
      <c r="BA40" s="11"/>
      <c r="BB40" t="s">
        <v>87</v>
      </c>
      <c r="BO40" t="s">
        <v>104</v>
      </c>
      <c r="BP40" t="s">
        <v>87</v>
      </c>
      <c r="BQ40" t="s">
        <v>87</v>
      </c>
      <c r="BR40" t="s">
        <v>87</v>
      </c>
      <c r="BS40" t="s">
        <v>87</v>
      </c>
      <c r="BT40" t="s">
        <v>87</v>
      </c>
      <c r="CA40" t="s">
        <v>87</v>
      </c>
      <c r="CG40" s="13"/>
      <c r="CH40" s="26">
        <v>0.25</v>
      </c>
      <c r="CO40" s="27" t="s">
        <v>162</v>
      </c>
    </row>
    <row r="41" spans="1:93" ht="24" customHeight="1" thickBot="1" x14ac:dyDescent="0.55000000000000004">
      <c r="A41" s="3" t="s">
        <v>40</v>
      </c>
      <c r="B41" s="11"/>
      <c r="U41" s="13" t="s">
        <v>79</v>
      </c>
      <c r="V41" s="11" t="s">
        <v>76</v>
      </c>
      <c r="W41" t="s">
        <v>76</v>
      </c>
      <c r="AA41" t="s">
        <v>76</v>
      </c>
      <c r="AB41" t="s">
        <v>76</v>
      </c>
      <c r="AC41" t="s">
        <v>76</v>
      </c>
      <c r="AD41" t="s">
        <v>76</v>
      </c>
      <c r="AN41" t="s">
        <v>76</v>
      </c>
      <c r="AO41" s="12"/>
      <c r="AT41" t="s">
        <v>76</v>
      </c>
      <c r="AU41" t="s">
        <v>76</v>
      </c>
      <c r="AV41" t="s">
        <v>76</v>
      </c>
      <c r="AZ41" s="13" t="s">
        <v>76</v>
      </c>
      <c r="BA41" s="11"/>
      <c r="BO41" t="s">
        <v>104</v>
      </c>
      <c r="BP41" t="s">
        <v>87</v>
      </c>
      <c r="BQ41" t="s">
        <v>87</v>
      </c>
      <c r="BR41" t="s">
        <v>87</v>
      </c>
      <c r="BS41" t="s">
        <v>87</v>
      </c>
      <c r="BT41" t="s">
        <v>87</v>
      </c>
      <c r="CA41" t="s">
        <v>87</v>
      </c>
      <c r="CG41" s="13"/>
      <c r="CH41" s="26">
        <v>0.3</v>
      </c>
      <c r="CO41" s="27" t="s">
        <v>163</v>
      </c>
    </row>
    <row r="42" spans="1:93" ht="24" customHeight="1" thickBot="1" x14ac:dyDescent="0.55000000000000004">
      <c r="A42" s="3" t="s">
        <v>41</v>
      </c>
      <c r="B42" s="11"/>
      <c r="U42" s="13" t="s">
        <v>79</v>
      </c>
      <c r="V42" s="11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76</v>
      </c>
      <c r="AE42" t="s">
        <v>76</v>
      </c>
      <c r="AN42" t="s">
        <v>76</v>
      </c>
      <c r="AO42" t="s">
        <v>76</v>
      </c>
      <c r="AP42" s="12"/>
      <c r="AQ42" t="s">
        <v>76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Z42" s="13"/>
      <c r="BA42" s="11"/>
      <c r="BO42" t="s">
        <v>104</v>
      </c>
      <c r="BP42" t="s">
        <v>87</v>
      </c>
      <c r="BQ42" t="s">
        <v>87</v>
      </c>
      <c r="BR42" t="s">
        <v>87</v>
      </c>
      <c r="BS42" t="s">
        <v>87</v>
      </c>
      <c r="BT42" t="s">
        <v>87</v>
      </c>
      <c r="CG42" s="13"/>
      <c r="CH42" s="26">
        <v>0.25</v>
      </c>
      <c r="CO42" s="27" t="s">
        <v>164</v>
      </c>
    </row>
    <row r="43" spans="1:93" ht="24" customHeight="1" thickBot="1" x14ac:dyDescent="0.55000000000000004">
      <c r="A43" s="3" t="s">
        <v>42</v>
      </c>
      <c r="B43" s="11"/>
      <c r="Q43" t="s">
        <v>79</v>
      </c>
      <c r="U43" s="13" t="s">
        <v>79</v>
      </c>
      <c r="V43" s="11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76</v>
      </c>
      <c r="AC43" t="s">
        <v>76</v>
      </c>
      <c r="AD43" t="s">
        <v>76</v>
      </c>
      <c r="AE43" t="s">
        <v>76</v>
      </c>
      <c r="AF43" t="s">
        <v>76</v>
      </c>
      <c r="AI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Q43" s="12"/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Z43" s="13" t="s">
        <v>76</v>
      </c>
      <c r="BA43" s="11"/>
      <c r="BO43" t="s">
        <v>104</v>
      </c>
      <c r="BP43" t="s">
        <v>87</v>
      </c>
      <c r="BQ43" t="s">
        <v>87</v>
      </c>
      <c r="BR43" t="s">
        <v>87</v>
      </c>
      <c r="BS43" t="s">
        <v>87</v>
      </c>
      <c r="BT43" t="s">
        <v>87</v>
      </c>
      <c r="CG43" s="13"/>
      <c r="CH43" s="26">
        <v>0.25</v>
      </c>
      <c r="CO43" s="27" t="s">
        <v>165</v>
      </c>
    </row>
    <row r="44" spans="1:93" ht="24" customHeight="1" thickBot="1" x14ac:dyDescent="0.55000000000000004">
      <c r="A44" s="3" t="s">
        <v>43</v>
      </c>
      <c r="B44" s="11"/>
      <c r="Q44" t="s">
        <v>79</v>
      </c>
      <c r="U44" s="13" t="s">
        <v>79</v>
      </c>
      <c r="V44" s="11"/>
      <c r="X44" t="s">
        <v>76</v>
      </c>
      <c r="AA44" t="s">
        <v>76</v>
      </c>
      <c r="AB44" t="s">
        <v>76</v>
      </c>
      <c r="AF44" t="s">
        <v>76</v>
      </c>
      <c r="AI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s="12"/>
      <c r="AT44" t="s">
        <v>76</v>
      </c>
      <c r="AZ44" s="13" t="s">
        <v>76</v>
      </c>
      <c r="BA44" s="11" t="s">
        <v>87</v>
      </c>
      <c r="BG44" t="s">
        <v>102</v>
      </c>
      <c r="BH44" t="s">
        <v>102</v>
      </c>
      <c r="BI44" t="s">
        <v>102</v>
      </c>
      <c r="BO44" t="s">
        <v>103</v>
      </c>
      <c r="BX44" t="s">
        <v>102</v>
      </c>
      <c r="BY44" t="s">
        <v>102</v>
      </c>
      <c r="CG44" s="13"/>
      <c r="CH44" s="26">
        <v>0.2</v>
      </c>
      <c r="CO44" s="27" t="s">
        <v>166</v>
      </c>
    </row>
    <row r="45" spans="1:93" ht="24" customHeight="1" thickBot="1" x14ac:dyDescent="0.55000000000000004">
      <c r="A45" s="3" t="s">
        <v>44</v>
      </c>
      <c r="B45" s="11"/>
      <c r="Q45" t="s">
        <v>79</v>
      </c>
      <c r="U45" s="13" t="s">
        <v>79</v>
      </c>
      <c r="V45" s="11" t="s">
        <v>76</v>
      </c>
      <c r="W45" t="s">
        <v>76</v>
      </c>
      <c r="X45" t="s">
        <v>76</v>
      </c>
      <c r="AA45" t="s">
        <v>76</v>
      </c>
      <c r="AB45" t="s">
        <v>76</v>
      </c>
      <c r="AF45" t="s">
        <v>76</v>
      </c>
      <c r="AI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S45" s="12"/>
      <c r="AT45" t="s">
        <v>76</v>
      </c>
      <c r="AU45" t="s">
        <v>76</v>
      </c>
      <c r="AV45" t="s">
        <v>76</v>
      </c>
      <c r="AZ45" s="13" t="s">
        <v>76</v>
      </c>
      <c r="BA45" s="11" t="s">
        <v>87</v>
      </c>
      <c r="BG45" t="s">
        <v>102</v>
      </c>
      <c r="BH45" t="s">
        <v>102</v>
      </c>
      <c r="BI45" t="s">
        <v>102</v>
      </c>
      <c r="BO45" t="s">
        <v>103</v>
      </c>
      <c r="BX45" t="s">
        <v>102</v>
      </c>
      <c r="BY45" t="s">
        <v>102</v>
      </c>
      <c r="CG45" s="13"/>
      <c r="CH45" s="26">
        <v>0.2</v>
      </c>
      <c r="CO45" s="27" t="s">
        <v>167</v>
      </c>
    </row>
    <row r="46" spans="1:93" ht="24" customHeight="1" thickBot="1" x14ac:dyDescent="0.55000000000000004">
      <c r="A46" s="3" t="s">
        <v>45</v>
      </c>
      <c r="B46" s="11"/>
      <c r="U46" s="13" t="s">
        <v>79</v>
      </c>
      <c r="V46" s="11"/>
      <c r="AC46" t="s">
        <v>76</v>
      </c>
      <c r="AD46" t="s">
        <v>76</v>
      </c>
      <c r="AE46" t="s">
        <v>76</v>
      </c>
      <c r="AF46" t="s">
        <v>76</v>
      </c>
      <c r="AI46" t="s">
        <v>76</v>
      </c>
      <c r="AK46" t="s">
        <v>76</v>
      </c>
      <c r="AL46" t="s">
        <v>76</v>
      </c>
      <c r="AM46" t="s">
        <v>76</v>
      </c>
      <c r="AT46" s="12"/>
      <c r="AZ46" s="13"/>
      <c r="BA46" s="11" t="s">
        <v>87</v>
      </c>
      <c r="BD46" t="s">
        <v>83</v>
      </c>
      <c r="BO46" t="s">
        <v>103</v>
      </c>
      <c r="BT46" t="s">
        <v>83</v>
      </c>
      <c r="BU46" t="s">
        <v>83</v>
      </c>
      <c r="BV46" t="s">
        <v>83</v>
      </c>
      <c r="BW46" t="s">
        <v>83</v>
      </c>
      <c r="CG46" s="13"/>
      <c r="CH46" s="26">
        <v>0.4</v>
      </c>
      <c r="CO46" s="27" t="s">
        <v>168</v>
      </c>
    </row>
    <row r="47" spans="1:93" ht="24" customHeight="1" thickBot="1" x14ac:dyDescent="0.55000000000000004">
      <c r="A47" s="3" t="s">
        <v>46</v>
      </c>
      <c r="B47" s="11"/>
      <c r="L47" t="s">
        <v>79</v>
      </c>
      <c r="U47" s="13"/>
      <c r="V47" s="11"/>
      <c r="X47" t="s">
        <v>76</v>
      </c>
      <c r="AD47" t="s">
        <v>76</v>
      </c>
      <c r="AF47" t="s">
        <v>76</v>
      </c>
      <c r="AK47" t="s">
        <v>76</v>
      </c>
      <c r="AU47" s="12"/>
      <c r="AZ47" s="13"/>
      <c r="BA47" s="11" t="s">
        <v>87</v>
      </c>
      <c r="BD47" t="s">
        <v>83</v>
      </c>
      <c r="BO47" t="s">
        <v>103</v>
      </c>
      <c r="BT47" t="s">
        <v>83</v>
      </c>
      <c r="BU47" t="s">
        <v>83</v>
      </c>
      <c r="BV47" t="s">
        <v>83</v>
      </c>
      <c r="BW47" t="s">
        <v>83</v>
      </c>
      <c r="CG47" s="13"/>
      <c r="CH47" s="26">
        <v>0.45</v>
      </c>
      <c r="CO47" s="27" t="s">
        <v>169</v>
      </c>
    </row>
    <row r="48" spans="1:93" ht="24" customHeight="1" thickBot="1" x14ac:dyDescent="0.55000000000000004">
      <c r="A48" s="3" t="s">
        <v>47</v>
      </c>
      <c r="B48" s="11"/>
      <c r="F48" t="s">
        <v>79</v>
      </c>
      <c r="U48" s="13"/>
      <c r="V48" s="11"/>
      <c r="X48" t="s">
        <v>76</v>
      </c>
      <c r="Y48" t="s">
        <v>76</v>
      </c>
      <c r="Z48" t="s">
        <v>76</v>
      </c>
      <c r="AA48" t="s">
        <v>76</v>
      </c>
      <c r="AU48" t="s">
        <v>76</v>
      </c>
      <c r="AV48" s="12"/>
      <c r="AZ48" s="13"/>
      <c r="BA48" s="11" t="s">
        <v>87</v>
      </c>
      <c r="BB48" t="s">
        <v>119</v>
      </c>
      <c r="BD48" t="s">
        <v>83</v>
      </c>
      <c r="BO48" t="s">
        <v>103</v>
      </c>
      <c r="BT48" t="s">
        <v>83</v>
      </c>
      <c r="BU48" t="s">
        <v>83</v>
      </c>
      <c r="BV48" t="s">
        <v>83</v>
      </c>
      <c r="BW48" t="s">
        <v>83</v>
      </c>
      <c r="CG48" s="13"/>
      <c r="CH48" s="26">
        <v>0.35</v>
      </c>
      <c r="CO48" s="27" t="s">
        <v>170</v>
      </c>
    </row>
    <row r="49" spans="1:93" ht="24" customHeight="1" thickBot="1" x14ac:dyDescent="0.55000000000000004">
      <c r="A49" s="3" t="s">
        <v>48</v>
      </c>
      <c r="B49" s="11"/>
      <c r="T49" t="s">
        <v>79</v>
      </c>
      <c r="U49" s="13"/>
      <c r="V49" s="11" t="s">
        <v>76</v>
      </c>
      <c r="W49" t="s">
        <v>76</v>
      </c>
      <c r="Y49" t="s">
        <v>76</v>
      </c>
      <c r="Z49" t="s">
        <v>76</v>
      </c>
      <c r="AF49" t="s">
        <v>76</v>
      </c>
      <c r="AI49" t="s">
        <v>76</v>
      </c>
      <c r="AP49" t="s">
        <v>76</v>
      </c>
      <c r="AT49" t="s">
        <v>76</v>
      </c>
      <c r="AU49" t="s">
        <v>76</v>
      </c>
      <c r="AV49" t="s">
        <v>76</v>
      </c>
      <c r="AW49" s="12"/>
      <c r="AZ49" s="13"/>
      <c r="BA49" s="11" t="s">
        <v>87</v>
      </c>
      <c r="BD49" t="s">
        <v>83</v>
      </c>
      <c r="BO49" t="s">
        <v>103</v>
      </c>
      <c r="BT49" t="s">
        <v>83</v>
      </c>
      <c r="BU49" t="s">
        <v>83</v>
      </c>
      <c r="BV49" t="s">
        <v>83</v>
      </c>
      <c r="BW49" t="s">
        <v>83</v>
      </c>
      <c r="CG49" s="13"/>
      <c r="CH49" s="26">
        <v>0.55000000000000004</v>
      </c>
      <c r="CO49" s="27" t="s">
        <v>171</v>
      </c>
    </row>
    <row r="50" spans="1:93" ht="24" customHeight="1" thickBot="1" x14ac:dyDescent="0.55000000000000004">
      <c r="A50" s="3" t="s">
        <v>49</v>
      </c>
      <c r="B50" s="11"/>
      <c r="T50" t="s">
        <v>79</v>
      </c>
      <c r="U50" s="13"/>
      <c r="V50" s="11" t="s">
        <v>76</v>
      </c>
      <c r="W50" t="s">
        <v>76</v>
      </c>
      <c r="AC50" t="s">
        <v>76</v>
      </c>
      <c r="AT50" t="s">
        <v>76</v>
      </c>
      <c r="AU50" t="s">
        <v>76</v>
      </c>
      <c r="AV50" t="s">
        <v>76</v>
      </c>
      <c r="AX50" s="12"/>
      <c r="AZ50" s="13"/>
      <c r="BA50" s="11" t="s">
        <v>87</v>
      </c>
      <c r="BD50" t="s">
        <v>83</v>
      </c>
      <c r="BO50" t="s">
        <v>103</v>
      </c>
      <c r="BT50" t="s">
        <v>83</v>
      </c>
      <c r="BU50" t="s">
        <v>83</v>
      </c>
      <c r="BV50" t="s">
        <v>83</v>
      </c>
      <c r="BW50" t="s">
        <v>83</v>
      </c>
      <c r="CG50" s="13"/>
      <c r="CH50" s="26">
        <v>0.55000000000000004</v>
      </c>
      <c r="CO50" s="27" t="s">
        <v>172</v>
      </c>
    </row>
    <row r="51" spans="1:93" ht="24" customHeight="1" thickBot="1" x14ac:dyDescent="0.55000000000000004">
      <c r="A51" s="3" t="s">
        <v>50</v>
      </c>
      <c r="B51" s="11"/>
      <c r="T51" t="s">
        <v>79</v>
      </c>
      <c r="U51" s="13"/>
      <c r="V51" s="11" t="s">
        <v>76</v>
      </c>
      <c r="W51" t="s">
        <v>76</v>
      </c>
      <c r="Y51" t="s">
        <v>76</v>
      </c>
      <c r="Z51" t="s">
        <v>76</v>
      </c>
      <c r="AA51" t="s">
        <v>76</v>
      </c>
      <c r="AB51" t="s">
        <v>76</v>
      </c>
      <c r="AC51" t="s">
        <v>76</v>
      </c>
      <c r="AE51" t="s">
        <v>76</v>
      </c>
      <c r="AT51" t="s">
        <v>76</v>
      </c>
      <c r="AV51" t="s">
        <v>76</v>
      </c>
      <c r="AY51" s="12"/>
      <c r="AZ51" s="13"/>
      <c r="BA51" s="11" t="s">
        <v>87</v>
      </c>
      <c r="BO51" t="s">
        <v>103</v>
      </c>
      <c r="CG51" s="13"/>
      <c r="CH51" s="26">
        <v>0.5</v>
      </c>
      <c r="CO51" s="27" t="s">
        <v>173</v>
      </c>
    </row>
    <row r="52" spans="1:93" ht="24" customHeight="1" thickBot="1" x14ac:dyDescent="0.55000000000000004">
      <c r="A52" s="3" t="s">
        <v>51</v>
      </c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 t="s">
        <v>79</v>
      </c>
      <c r="U52" s="18"/>
      <c r="V52" s="14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 t="s">
        <v>76</v>
      </c>
      <c r="AO52" s="15" t="s">
        <v>76</v>
      </c>
      <c r="AP52" s="15"/>
      <c r="AQ52" s="15" t="s">
        <v>76</v>
      </c>
      <c r="AR52" s="15" t="s">
        <v>76</v>
      </c>
      <c r="AS52" s="15" t="s">
        <v>76</v>
      </c>
      <c r="AT52" s="15"/>
      <c r="AU52" s="15"/>
      <c r="AV52" s="15"/>
      <c r="AW52" s="15"/>
      <c r="AX52" s="15"/>
      <c r="AY52" s="15"/>
      <c r="AZ52" s="16"/>
      <c r="BA52" s="14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 t="s">
        <v>104</v>
      </c>
      <c r="BP52" s="15" t="s">
        <v>87</v>
      </c>
      <c r="BQ52" s="15" t="s">
        <v>87</v>
      </c>
      <c r="BR52" s="15" t="s">
        <v>87</v>
      </c>
      <c r="BS52" s="15" t="s">
        <v>87</v>
      </c>
      <c r="BT52" s="15" t="s">
        <v>87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8"/>
      <c r="CH52" s="26">
        <v>0.4</v>
      </c>
      <c r="CO52" s="27" t="s">
        <v>174</v>
      </c>
    </row>
    <row r="53" spans="1:93" ht="24" customHeight="1" thickBot="1" x14ac:dyDescent="0.55000000000000004">
      <c r="A53" s="4" t="s">
        <v>52</v>
      </c>
      <c r="B53" s="17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10"/>
      <c r="V53" s="17" t="s">
        <v>87</v>
      </c>
      <c r="W53" s="9" t="s">
        <v>87</v>
      </c>
      <c r="X53" s="9" t="s">
        <v>87</v>
      </c>
      <c r="Y53" s="9" t="s">
        <v>87</v>
      </c>
      <c r="Z53" s="9" t="s">
        <v>87</v>
      </c>
      <c r="AA53" s="9" t="s">
        <v>87</v>
      </c>
      <c r="AB53" s="9" t="s">
        <v>87</v>
      </c>
      <c r="AC53" s="9" t="s">
        <v>87</v>
      </c>
      <c r="AD53" s="9" t="s">
        <v>87</v>
      </c>
      <c r="AE53" s="9" t="s">
        <v>87</v>
      </c>
      <c r="AF53" s="9" t="s">
        <v>87</v>
      </c>
      <c r="AG53" s="9" t="s">
        <v>87</v>
      </c>
      <c r="AH53" s="9" t="s">
        <v>87</v>
      </c>
      <c r="AI53" s="9" t="s">
        <v>87</v>
      </c>
      <c r="AJ53" s="9" t="s">
        <v>87</v>
      </c>
      <c r="AK53" s="9" t="s">
        <v>87</v>
      </c>
      <c r="AL53" s="9" t="s">
        <v>87</v>
      </c>
      <c r="AM53" s="9" t="s">
        <v>87</v>
      </c>
      <c r="AN53" s="9"/>
      <c r="AO53" s="9"/>
      <c r="AP53" s="9"/>
      <c r="AQ53" s="9"/>
      <c r="AR53" s="9" t="s">
        <v>87</v>
      </c>
      <c r="AS53" s="9" t="s">
        <v>87</v>
      </c>
      <c r="AT53" s="9" t="s">
        <v>87</v>
      </c>
      <c r="AU53" s="9" t="s">
        <v>87</v>
      </c>
      <c r="AV53" s="9" t="s">
        <v>87</v>
      </c>
      <c r="AW53" s="9" t="s">
        <v>87</v>
      </c>
      <c r="AX53" s="9" t="s">
        <v>87</v>
      </c>
      <c r="AY53" s="9" t="s">
        <v>87</v>
      </c>
      <c r="AZ53" s="10"/>
      <c r="BA53" s="8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 t="s">
        <v>91</v>
      </c>
      <c r="BP53" s="9" t="s">
        <v>91</v>
      </c>
      <c r="BQ53" s="9"/>
      <c r="BR53" s="9"/>
      <c r="BS53" s="9"/>
      <c r="BT53" s="9"/>
      <c r="BU53" s="9" t="s">
        <v>91</v>
      </c>
      <c r="BV53" s="9"/>
      <c r="BW53" s="9"/>
      <c r="BX53" s="9"/>
      <c r="BY53" s="9"/>
      <c r="BZ53" s="9"/>
      <c r="CA53" s="9" t="s">
        <v>92</v>
      </c>
      <c r="CB53" s="9"/>
      <c r="CC53" s="9"/>
      <c r="CD53" s="9"/>
      <c r="CE53" s="9"/>
      <c r="CF53" s="9"/>
      <c r="CG53" s="10"/>
      <c r="CH53" s="26">
        <v>0.25</v>
      </c>
      <c r="CO53" s="27" t="s">
        <v>175</v>
      </c>
    </row>
    <row r="54" spans="1:93" ht="24" customHeight="1" thickBot="1" x14ac:dyDescent="0.55000000000000004">
      <c r="A54" s="4" t="s">
        <v>53</v>
      </c>
      <c r="B54" s="11"/>
      <c r="F54" t="s">
        <v>110</v>
      </c>
      <c r="G54" t="s">
        <v>110</v>
      </c>
      <c r="H54" t="s">
        <v>110</v>
      </c>
      <c r="I54" t="s">
        <v>110</v>
      </c>
      <c r="M54" t="s">
        <v>110</v>
      </c>
      <c r="T54" t="s">
        <v>81</v>
      </c>
      <c r="U54" s="13" t="s">
        <v>118</v>
      </c>
      <c r="V54" s="11" t="s">
        <v>119</v>
      </c>
      <c r="AL54" t="s">
        <v>119</v>
      </c>
      <c r="AN54" t="s">
        <v>87</v>
      </c>
      <c r="AV54" t="s">
        <v>119</v>
      </c>
      <c r="AZ54" s="13"/>
      <c r="BA54" s="11"/>
      <c r="BB54" s="12"/>
      <c r="BL54" t="s">
        <v>88</v>
      </c>
      <c r="BO54" t="s">
        <v>120</v>
      </c>
      <c r="CA54" t="s">
        <v>121</v>
      </c>
      <c r="CB54" t="s">
        <v>114</v>
      </c>
      <c r="CC54" t="s">
        <v>114</v>
      </c>
      <c r="CD54" t="s">
        <v>114</v>
      </c>
      <c r="CG54" s="13"/>
      <c r="CH54" s="26">
        <v>0.2</v>
      </c>
      <c r="CO54" s="27" t="s">
        <v>176</v>
      </c>
    </row>
    <row r="55" spans="1:93" ht="24" customHeight="1" thickBot="1" x14ac:dyDescent="0.55000000000000004">
      <c r="A55" s="4" t="s">
        <v>54</v>
      </c>
      <c r="B55" s="11"/>
      <c r="U55" s="13"/>
      <c r="V55" s="11"/>
      <c r="AA55" s="21" t="s">
        <v>102</v>
      </c>
      <c r="AD55" s="21" t="s">
        <v>102</v>
      </c>
      <c r="AK55" s="21" t="s">
        <v>107</v>
      </c>
      <c r="AM55" s="21" t="s">
        <v>107</v>
      </c>
      <c r="AZ55" s="13"/>
      <c r="BA55" s="11"/>
      <c r="BC55" s="12"/>
      <c r="BD55" s="21" t="s">
        <v>92</v>
      </c>
      <c r="BO55" s="21" t="s">
        <v>108</v>
      </c>
      <c r="BW55" s="21" t="s">
        <v>92</v>
      </c>
      <c r="CA55" t="s">
        <v>112</v>
      </c>
      <c r="CD55" s="21" t="s">
        <v>109</v>
      </c>
      <c r="CE55" s="21" t="s">
        <v>109</v>
      </c>
      <c r="CF55" s="21" t="s">
        <v>109</v>
      </c>
      <c r="CG55" s="22" t="s">
        <v>109</v>
      </c>
      <c r="CH55" s="26">
        <v>0.25</v>
      </c>
      <c r="CO55" s="27" t="s">
        <v>177</v>
      </c>
    </row>
    <row r="56" spans="1:93" ht="24" customHeight="1" thickBot="1" x14ac:dyDescent="0.55000000000000004">
      <c r="A56" s="4" t="s">
        <v>89</v>
      </c>
      <c r="B56" s="11"/>
      <c r="F56" t="s">
        <v>84</v>
      </c>
      <c r="U56" s="13"/>
      <c r="V56" s="11" t="s">
        <v>83</v>
      </c>
      <c r="Y56" t="s">
        <v>83</v>
      </c>
      <c r="Z56" t="s">
        <v>83</v>
      </c>
      <c r="AA56" t="s">
        <v>83</v>
      </c>
      <c r="AB56" t="s">
        <v>83</v>
      </c>
      <c r="AC56" t="s">
        <v>83</v>
      </c>
      <c r="AT56" t="s">
        <v>83</v>
      </c>
      <c r="AU56" t="s">
        <v>83</v>
      </c>
      <c r="AV56" t="s">
        <v>119</v>
      </c>
      <c r="AW56" t="s">
        <v>83</v>
      </c>
      <c r="AX56" t="s">
        <v>83</v>
      </c>
      <c r="AZ56" s="13"/>
      <c r="BA56" s="11"/>
      <c r="BC56" s="21" t="s">
        <v>92</v>
      </c>
      <c r="BD56" s="12"/>
      <c r="BO56" t="s">
        <v>93</v>
      </c>
      <c r="CG56" s="13"/>
      <c r="CH56" s="26">
        <v>0.25</v>
      </c>
      <c r="CO56" s="27" t="s">
        <v>178</v>
      </c>
    </row>
    <row r="57" spans="1:93" ht="24" customHeight="1" thickBot="1" x14ac:dyDescent="0.55000000000000004">
      <c r="A57" s="4" t="s">
        <v>55</v>
      </c>
      <c r="B57" s="11" t="s">
        <v>80</v>
      </c>
      <c r="C57" t="s">
        <v>80</v>
      </c>
      <c r="D57" t="s">
        <v>80</v>
      </c>
      <c r="E57" t="s">
        <v>80</v>
      </c>
      <c r="U57" s="13"/>
      <c r="V57" s="11"/>
      <c r="AZ57" s="13"/>
      <c r="BA57" s="11"/>
      <c r="BE57" s="12"/>
      <c r="CG57" s="13"/>
      <c r="CH57" s="26">
        <v>0.35</v>
      </c>
      <c r="CO57" s="27" t="s">
        <v>179</v>
      </c>
    </row>
    <row r="58" spans="1:93" ht="24" customHeight="1" thickBot="1" x14ac:dyDescent="0.55000000000000004">
      <c r="A58" s="4" t="s">
        <v>56</v>
      </c>
      <c r="B58" s="11"/>
      <c r="J58" t="s">
        <v>80</v>
      </c>
      <c r="K58" t="s">
        <v>80</v>
      </c>
      <c r="U58" s="13"/>
      <c r="V58" s="11"/>
      <c r="AZ58" s="13"/>
      <c r="BA58" s="11"/>
      <c r="BF58" s="12"/>
      <c r="CG58" s="13"/>
      <c r="CH58" s="26">
        <v>0.35</v>
      </c>
      <c r="CO58" s="27" t="s">
        <v>180</v>
      </c>
    </row>
    <row r="59" spans="1:93" ht="24" customHeight="1" thickBot="1" x14ac:dyDescent="0.55000000000000004">
      <c r="A59" s="4" t="s">
        <v>57</v>
      </c>
      <c r="B59" s="11"/>
      <c r="O59" t="s">
        <v>85</v>
      </c>
      <c r="P59" t="s">
        <v>85</v>
      </c>
      <c r="Q59" t="s">
        <v>80</v>
      </c>
      <c r="R59" t="s">
        <v>80</v>
      </c>
      <c r="U59" s="13"/>
      <c r="V59" s="11"/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R59" t="s">
        <v>102</v>
      </c>
      <c r="AS59" t="s">
        <v>102</v>
      </c>
      <c r="AZ59" s="13"/>
      <c r="BA59" s="11"/>
      <c r="BG59" s="12"/>
      <c r="BO59" t="s">
        <v>88</v>
      </c>
      <c r="CG59" s="13"/>
      <c r="CH59" s="26">
        <v>0.35</v>
      </c>
      <c r="CO59" s="27" t="s">
        <v>181</v>
      </c>
    </row>
    <row r="60" spans="1:93" ht="24" customHeight="1" thickBot="1" x14ac:dyDescent="0.55000000000000004">
      <c r="A60" s="4" t="s">
        <v>58</v>
      </c>
      <c r="B60" s="11"/>
      <c r="M60" t="s">
        <v>84</v>
      </c>
      <c r="N60" t="s">
        <v>84</v>
      </c>
      <c r="U60" s="13"/>
      <c r="V60" s="11"/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R60" t="s">
        <v>102</v>
      </c>
      <c r="AS60" t="s">
        <v>102</v>
      </c>
      <c r="AZ60" s="13"/>
      <c r="BA60" s="11"/>
      <c r="BH60" s="12"/>
      <c r="CG60" s="13"/>
      <c r="CH60" s="26">
        <v>0.35</v>
      </c>
      <c r="CO60" s="27" t="s">
        <v>182</v>
      </c>
    </row>
    <row r="61" spans="1:93" ht="24" customHeight="1" thickBot="1" x14ac:dyDescent="0.55000000000000004">
      <c r="A61" s="4" t="s">
        <v>59</v>
      </c>
      <c r="B61" s="11"/>
      <c r="U61" s="13" t="s">
        <v>84</v>
      </c>
      <c r="V61" s="11"/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R61" t="s">
        <v>102</v>
      </c>
      <c r="AS61" t="s">
        <v>102</v>
      </c>
      <c r="AZ61" s="13"/>
      <c r="BA61" s="11"/>
      <c r="BI61" s="12"/>
      <c r="CG61" s="13"/>
      <c r="CH61" s="26">
        <v>0.35</v>
      </c>
      <c r="CO61" s="27" t="s">
        <v>183</v>
      </c>
    </row>
    <row r="62" spans="1:93" ht="24" customHeight="1" thickBot="1" x14ac:dyDescent="0.55000000000000004">
      <c r="A62" s="4" t="s">
        <v>60</v>
      </c>
      <c r="B62" s="11"/>
      <c r="Q62" t="s">
        <v>84</v>
      </c>
      <c r="U62" s="13" t="s">
        <v>80</v>
      </c>
      <c r="V62" s="11"/>
      <c r="AZ62" s="13"/>
      <c r="BA62" s="11"/>
      <c r="BJ62" s="12"/>
      <c r="CG62" s="13"/>
      <c r="CH62" s="26">
        <v>0.35</v>
      </c>
      <c r="CO62" s="27" t="s">
        <v>184</v>
      </c>
    </row>
    <row r="63" spans="1:93" ht="24" customHeight="1" thickBot="1" x14ac:dyDescent="0.55000000000000004">
      <c r="A63" s="4" t="s">
        <v>61</v>
      </c>
      <c r="B63" s="11"/>
      <c r="R63" t="s">
        <v>86</v>
      </c>
      <c r="U63" s="13"/>
      <c r="V63" s="11"/>
      <c r="AZ63" s="13"/>
      <c r="BA63" s="11"/>
      <c r="BK63" s="12"/>
      <c r="BO63" t="s">
        <v>88</v>
      </c>
      <c r="CG63" s="13"/>
      <c r="CH63" s="26">
        <v>0.35</v>
      </c>
      <c r="CO63" s="27" t="s">
        <v>185</v>
      </c>
    </row>
    <row r="64" spans="1:93" ht="24" customHeight="1" thickBot="1" x14ac:dyDescent="0.55000000000000004">
      <c r="A64" s="4" t="s">
        <v>62</v>
      </c>
      <c r="B64" s="11"/>
      <c r="R64" t="s">
        <v>85</v>
      </c>
      <c r="U64" s="13" t="s">
        <v>85</v>
      </c>
      <c r="V64" s="11"/>
      <c r="AZ64" s="13"/>
      <c r="BA64" s="11"/>
      <c r="BB64" t="s">
        <v>88</v>
      </c>
      <c r="BL64" s="12"/>
      <c r="CG64" s="13"/>
      <c r="CH64" s="26">
        <v>0.35</v>
      </c>
      <c r="CO64" s="27" t="s">
        <v>186</v>
      </c>
    </row>
    <row r="65" spans="1:93" ht="24" customHeight="1" thickBot="1" x14ac:dyDescent="0.55000000000000004">
      <c r="A65" s="4" t="s">
        <v>63</v>
      </c>
      <c r="B65" s="11" t="s">
        <v>81</v>
      </c>
      <c r="C65" t="s">
        <v>81</v>
      </c>
      <c r="D65" t="s">
        <v>81</v>
      </c>
      <c r="S65" t="s">
        <v>80</v>
      </c>
      <c r="T65" t="s">
        <v>85</v>
      </c>
      <c r="U65" s="13"/>
      <c r="V65" s="11"/>
      <c r="AZ65" s="13"/>
      <c r="BA65" s="11"/>
      <c r="BM65" s="12"/>
      <c r="CG65" s="13"/>
      <c r="CH65" s="26">
        <v>0.35</v>
      </c>
      <c r="CO65" s="27" t="s">
        <v>187</v>
      </c>
    </row>
    <row r="66" spans="1:93" ht="24" customHeight="1" thickBot="1" x14ac:dyDescent="0.55000000000000004">
      <c r="A66" s="4" t="s">
        <v>64</v>
      </c>
      <c r="B66" s="11"/>
      <c r="S66" t="s">
        <v>85</v>
      </c>
      <c r="U66" s="13"/>
      <c r="V66" s="11"/>
      <c r="AZ66" s="13"/>
      <c r="BA66" s="11"/>
      <c r="BN66" s="12"/>
      <c r="CG66" s="13"/>
      <c r="CH66" s="26">
        <v>0.35</v>
      </c>
      <c r="CO66" s="27" t="s">
        <v>188</v>
      </c>
    </row>
    <row r="67" spans="1:93" ht="24" customHeight="1" thickBot="1" x14ac:dyDescent="0.55000000000000004">
      <c r="A67" s="4" t="s">
        <v>65</v>
      </c>
      <c r="B67" s="11" t="s">
        <v>82</v>
      </c>
      <c r="C67" t="s">
        <v>82</v>
      </c>
      <c r="J67" t="s">
        <v>82</v>
      </c>
      <c r="K67" t="s">
        <v>82</v>
      </c>
      <c r="L67" t="s">
        <v>82</v>
      </c>
      <c r="M67" t="s">
        <v>82</v>
      </c>
      <c r="T67" t="s">
        <v>83</v>
      </c>
      <c r="U67" s="13" t="s">
        <v>83</v>
      </c>
      <c r="V67" s="11" t="s">
        <v>103</v>
      </c>
      <c r="W67" t="s">
        <v>103</v>
      </c>
      <c r="X67" t="s">
        <v>103</v>
      </c>
      <c r="Y67" t="s">
        <v>103</v>
      </c>
      <c r="Z67" t="s">
        <v>103</v>
      </c>
      <c r="AA67" t="s">
        <v>103</v>
      </c>
      <c r="AB67" t="s">
        <v>103</v>
      </c>
      <c r="AC67" t="s">
        <v>103</v>
      </c>
      <c r="AD67" t="s">
        <v>103</v>
      </c>
      <c r="AE67" t="s">
        <v>103</v>
      </c>
      <c r="AF67" t="s">
        <v>103</v>
      </c>
      <c r="AG67" t="s">
        <v>103</v>
      </c>
      <c r="AH67" t="s">
        <v>103</v>
      </c>
      <c r="AI67" t="s">
        <v>103</v>
      </c>
      <c r="AJ67" t="s">
        <v>103</v>
      </c>
      <c r="AK67" t="s">
        <v>103</v>
      </c>
      <c r="AL67" t="s">
        <v>103</v>
      </c>
      <c r="AM67" t="s">
        <v>103</v>
      </c>
      <c r="AN67" t="s">
        <v>104</v>
      </c>
      <c r="AO67" t="s">
        <v>104</v>
      </c>
      <c r="AP67" t="s">
        <v>104</v>
      </c>
      <c r="AQ67" t="s">
        <v>104</v>
      </c>
      <c r="AR67" t="s">
        <v>103</v>
      </c>
      <c r="AS67" t="s">
        <v>103</v>
      </c>
      <c r="AT67" t="s">
        <v>103</v>
      </c>
      <c r="AU67" t="s">
        <v>103</v>
      </c>
      <c r="AV67" t="s">
        <v>103</v>
      </c>
      <c r="AW67" t="s">
        <v>103</v>
      </c>
      <c r="AX67" t="s">
        <v>103</v>
      </c>
      <c r="AY67" t="s">
        <v>103</v>
      </c>
      <c r="AZ67" s="13" t="s">
        <v>104</v>
      </c>
      <c r="BA67" s="11"/>
      <c r="BB67" t="s">
        <v>120</v>
      </c>
      <c r="BC67" s="21" t="s">
        <v>108</v>
      </c>
      <c r="BJ67" t="s">
        <v>105</v>
      </c>
      <c r="BN67" t="s">
        <v>105</v>
      </c>
      <c r="BO67" s="12"/>
      <c r="BS67" t="s">
        <v>105</v>
      </c>
      <c r="BW67" t="s">
        <v>90</v>
      </c>
      <c r="CA67" t="s">
        <v>115</v>
      </c>
      <c r="CC67" t="s">
        <v>105</v>
      </c>
      <c r="CE67" t="s">
        <v>105</v>
      </c>
      <c r="CF67" t="s">
        <v>105</v>
      </c>
      <c r="CG67" s="13"/>
      <c r="CH67" s="26">
        <v>0.2</v>
      </c>
      <c r="CO67" s="27" t="s">
        <v>189</v>
      </c>
    </row>
    <row r="68" spans="1:93" ht="24" customHeight="1" thickBot="1" x14ac:dyDescent="0.55000000000000004">
      <c r="A68" s="4" t="s">
        <v>66</v>
      </c>
      <c r="B68" s="11"/>
      <c r="T68" t="s">
        <v>83</v>
      </c>
      <c r="U68" s="13"/>
      <c r="V68" s="11"/>
      <c r="AN68" t="s">
        <v>87</v>
      </c>
      <c r="AO68" t="s">
        <v>87</v>
      </c>
      <c r="AP68" t="s">
        <v>87</v>
      </c>
      <c r="AQ68" t="s">
        <v>87</v>
      </c>
      <c r="AZ68" s="13" t="s">
        <v>87</v>
      </c>
      <c r="BA68" s="11"/>
      <c r="BP68" s="12"/>
      <c r="CG68" s="13"/>
      <c r="CH68" s="26">
        <v>0.22</v>
      </c>
      <c r="CO68" s="27" t="s">
        <v>190</v>
      </c>
    </row>
    <row r="69" spans="1:93" ht="24" customHeight="1" thickBot="1" x14ac:dyDescent="0.55000000000000004">
      <c r="A69" s="4" t="s">
        <v>67</v>
      </c>
      <c r="B69" s="11"/>
      <c r="U69" s="13"/>
      <c r="V69" s="11"/>
      <c r="AN69" t="s">
        <v>87</v>
      </c>
      <c r="AO69" t="s">
        <v>87</v>
      </c>
      <c r="AP69" t="s">
        <v>87</v>
      </c>
      <c r="AQ69" t="s">
        <v>87</v>
      </c>
      <c r="AZ69" s="13" t="s">
        <v>87</v>
      </c>
      <c r="BA69" s="11"/>
      <c r="BQ69" s="12"/>
      <c r="CG69" s="13"/>
      <c r="CH69" s="26">
        <v>0.22</v>
      </c>
      <c r="CO69" s="27" t="s">
        <v>191</v>
      </c>
    </row>
    <row r="70" spans="1:93" ht="24" customHeight="1" thickBot="1" x14ac:dyDescent="0.55000000000000004">
      <c r="A70" s="4" t="s">
        <v>68</v>
      </c>
      <c r="B70" s="11"/>
      <c r="U70" s="13"/>
      <c r="V70" s="11"/>
      <c r="AN70" t="s">
        <v>87</v>
      </c>
      <c r="AO70" t="s">
        <v>87</v>
      </c>
      <c r="AP70" t="s">
        <v>87</v>
      </c>
      <c r="AQ70" t="s">
        <v>87</v>
      </c>
      <c r="AZ70" s="13" t="s">
        <v>87</v>
      </c>
      <c r="BA70" s="11"/>
      <c r="BR70" s="12"/>
      <c r="CG70" s="13"/>
      <c r="CH70" s="26">
        <v>0.22</v>
      </c>
      <c r="CO70" s="27" t="s">
        <v>192</v>
      </c>
    </row>
    <row r="71" spans="1:93" ht="24" customHeight="1" thickBot="1" x14ac:dyDescent="0.55000000000000004">
      <c r="A71" s="4" t="s">
        <v>69</v>
      </c>
      <c r="B71" s="11"/>
      <c r="U71" s="13"/>
      <c r="V71" s="11"/>
      <c r="AN71" t="s">
        <v>87</v>
      </c>
      <c r="AO71" t="s">
        <v>87</v>
      </c>
      <c r="AP71" t="s">
        <v>87</v>
      </c>
      <c r="AQ71" t="s">
        <v>87</v>
      </c>
      <c r="AZ71" s="13" t="s">
        <v>87</v>
      </c>
      <c r="BA71" s="11"/>
      <c r="BO71" t="s">
        <v>105</v>
      </c>
      <c r="BQ71" t="s">
        <v>105</v>
      </c>
      <c r="BS71" s="12"/>
      <c r="CG71" s="13"/>
      <c r="CH71" s="26">
        <v>0.22</v>
      </c>
      <c r="CO71" s="27" t="s">
        <v>193</v>
      </c>
    </row>
    <row r="72" spans="1:93" ht="24" customHeight="1" thickBot="1" x14ac:dyDescent="0.55000000000000004">
      <c r="A72" s="4" t="s">
        <v>70</v>
      </c>
      <c r="B72" s="11"/>
      <c r="F72" t="s">
        <v>82</v>
      </c>
      <c r="U72" s="13"/>
      <c r="V72" s="11" t="s">
        <v>83</v>
      </c>
      <c r="Y72" t="s">
        <v>83</v>
      </c>
      <c r="Z72" t="s">
        <v>83</v>
      </c>
      <c r="AA72" t="s">
        <v>83</v>
      </c>
      <c r="AB72" t="s">
        <v>83</v>
      </c>
      <c r="AC72" t="s">
        <v>83</v>
      </c>
      <c r="AN72" t="s">
        <v>87</v>
      </c>
      <c r="AO72" t="s">
        <v>87</v>
      </c>
      <c r="AP72" t="s">
        <v>87</v>
      </c>
      <c r="AQ72" t="s">
        <v>87</v>
      </c>
      <c r="AT72" t="s">
        <v>83</v>
      </c>
      <c r="AU72" t="s">
        <v>83</v>
      </c>
      <c r="AV72" t="s">
        <v>83</v>
      </c>
      <c r="AW72" t="s">
        <v>83</v>
      </c>
      <c r="AX72" t="s">
        <v>83</v>
      </c>
      <c r="AZ72" s="13" t="s">
        <v>87</v>
      </c>
      <c r="BA72" s="11"/>
      <c r="BT72" s="12"/>
      <c r="CG72" s="13"/>
      <c r="CH72" s="26">
        <v>0.25</v>
      </c>
      <c r="CO72" s="27" t="s">
        <v>194</v>
      </c>
    </row>
    <row r="73" spans="1:93" ht="24" customHeight="1" thickBot="1" x14ac:dyDescent="0.55000000000000004">
      <c r="A73" s="4" t="s">
        <v>71</v>
      </c>
      <c r="B73" s="11"/>
      <c r="D73" t="s">
        <v>83</v>
      </c>
      <c r="S73" t="s">
        <v>82</v>
      </c>
      <c r="U73" s="13"/>
      <c r="V73" s="11" t="s">
        <v>83</v>
      </c>
      <c r="Y73" t="s">
        <v>83</v>
      </c>
      <c r="Z73" t="s">
        <v>83</v>
      </c>
      <c r="AA73" t="s">
        <v>83</v>
      </c>
      <c r="AB73" t="s">
        <v>83</v>
      </c>
      <c r="AC73" t="s">
        <v>83</v>
      </c>
      <c r="AT73" t="s">
        <v>83</v>
      </c>
      <c r="AU73" t="s">
        <v>83</v>
      </c>
      <c r="AV73" t="s">
        <v>83</v>
      </c>
      <c r="AW73" t="s">
        <v>83</v>
      </c>
      <c r="AX73" t="s">
        <v>83</v>
      </c>
      <c r="AZ73" s="13"/>
      <c r="BA73" s="11"/>
      <c r="BU73" s="12"/>
      <c r="CA73" t="s">
        <v>114</v>
      </c>
      <c r="CG73" s="13"/>
      <c r="CH73" s="26">
        <v>0.25</v>
      </c>
      <c r="CO73" s="27" t="s">
        <v>195</v>
      </c>
    </row>
    <row r="74" spans="1:93" ht="24" customHeight="1" thickBot="1" x14ac:dyDescent="0.55000000000000004">
      <c r="A74" s="4" t="s">
        <v>72</v>
      </c>
      <c r="B74" s="11"/>
      <c r="S74" t="s">
        <v>82</v>
      </c>
      <c r="U74" s="13"/>
      <c r="V74" s="11" t="s">
        <v>83</v>
      </c>
      <c r="Y74" t="s">
        <v>83</v>
      </c>
      <c r="Z74" t="s">
        <v>83</v>
      </c>
      <c r="AA74" t="s">
        <v>83</v>
      </c>
      <c r="AB74" t="s">
        <v>83</v>
      </c>
      <c r="AC74" t="s">
        <v>83</v>
      </c>
      <c r="AT74" t="s">
        <v>83</v>
      </c>
      <c r="AU74" t="s">
        <v>83</v>
      </c>
      <c r="AV74" t="s">
        <v>83</v>
      </c>
      <c r="AW74" t="s">
        <v>83</v>
      </c>
      <c r="AX74" t="s">
        <v>83</v>
      </c>
      <c r="AZ74" s="13"/>
      <c r="BA74" s="11"/>
      <c r="BV74" s="12"/>
      <c r="CG74" s="13"/>
      <c r="CH74" s="26">
        <v>0.3</v>
      </c>
      <c r="CO74" s="27" t="s">
        <v>196</v>
      </c>
    </row>
    <row r="75" spans="1:93" ht="24" customHeight="1" thickBot="1" x14ac:dyDescent="0.55000000000000004">
      <c r="A75" s="4" t="s">
        <v>73</v>
      </c>
      <c r="B75" s="11" t="s">
        <v>83</v>
      </c>
      <c r="C75" t="s">
        <v>83</v>
      </c>
      <c r="D75" t="s">
        <v>82</v>
      </c>
      <c r="E75" t="s">
        <v>82</v>
      </c>
      <c r="G75" t="s">
        <v>84</v>
      </c>
      <c r="H75" t="s">
        <v>84</v>
      </c>
      <c r="I75" t="s">
        <v>84</v>
      </c>
      <c r="L75" t="s">
        <v>80</v>
      </c>
      <c r="U75" s="13"/>
      <c r="V75" s="11" t="s">
        <v>83</v>
      </c>
      <c r="Y75" t="s">
        <v>83</v>
      </c>
      <c r="Z75" t="s">
        <v>83</v>
      </c>
      <c r="AA75" t="s">
        <v>83</v>
      </c>
      <c r="AB75" t="s">
        <v>83</v>
      </c>
      <c r="AC75" t="s">
        <v>83</v>
      </c>
      <c r="AT75" t="s">
        <v>83</v>
      </c>
      <c r="AU75" t="s">
        <v>83</v>
      </c>
      <c r="AV75" t="s">
        <v>83</v>
      </c>
      <c r="AW75" t="s">
        <v>83</v>
      </c>
      <c r="AX75" t="s">
        <v>83</v>
      </c>
      <c r="AZ75" s="13"/>
      <c r="BA75" s="11"/>
      <c r="BC75" s="21" t="s">
        <v>92</v>
      </c>
      <c r="BW75" s="12"/>
      <c r="CG75" s="13"/>
      <c r="CH75" s="26">
        <v>0.3</v>
      </c>
      <c r="CO75" s="27" t="s">
        <v>197</v>
      </c>
    </row>
    <row r="76" spans="1:93" ht="24" customHeight="1" thickBot="1" x14ac:dyDescent="0.55000000000000004">
      <c r="A76" s="4" t="s">
        <v>74</v>
      </c>
      <c r="B76" s="11"/>
      <c r="P76" t="s">
        <v>83</v>
      </c>
      <c r="U76" s="13"/>
      <c r="V76" s="11"/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R76" t="s">
        <v>102</v>
      </c>
      <c r="AS76" t="s">
        <v>102</v>
      </c>
      <c r="AZ76" s="13"/>
      <c r="BA76" s="11"/>
      <c r="BX76" s="12"/>
      <c r="BY76" t="s">
        <v>88</v>
      </c>
      <c r="CF76" t="s">
        <v>105</v>
      </c>
      <c r="CG76" s="13"/>
      <c r="CH76" s="26">
        <v>0.25</v>
      </c>
      <c r="CO76" s="27" t="s">
        <v>198</v>
      </c>
    </row>
    <row r="77" spans="1:93" ht="24" customHeight="1" thickBot="1" x14ac:dyDescent="0.55000000000000004">
      <c r="A77" s="4" t="s">
        <v>75</v>
      </c>
      <c r="B77" s="11"/>
      <c r="O77" t="s">
        <v>83</v>
      </c>
      <c r="U77" s="13"/>
      <c r="V77" s="11"/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R77" t="s">
        <v>102</v>
      </c>
      <c r="AS77" t="s">
        <v>102</v>
      </c>
      <c r="AZ77" s="13"/>
      <c r="BA77" s="11"/>
      <c r="BL77" t="s">
        <v>105</v>
      </c>
      <c r="BY77" s="12"/>
      <c r="CG77" s="13"/>
      <c r="CH77" s="26">
        <v>0.25</v>
      </c>
      <c r="CO77" s="27" t="s">
        <v>199</v>
      </c>
    </row>
    <row r="78" spans="1:93" ht="24" customHeight="1" thickBot="1" x14ac:dyDescent="0.55000000000000004">
      <c r="A78" s="4" t="s">
        <v>94</v>
      </c>
      <c r="B78" s="11"/>
      <c r="U78" s="13"/>
      <c r="V78" s="11"/>
      <c r="AZ78" s="13"/>
      <c r="BA78" s="11"/>
      <c r="BH78" t="s">
        <v>92</v>
      </c>
      <c r="BZ78" s="19"/>
      <c r="CG78" s="13"/>
      <c r="CH78" s="26">
        <v>0.2</v>
      </c>
      <c r="CO78" s="27" t="s">
        <v>200</v>
      </c>
    </row>
    <row r="79" spans="1:93" ht="24" customHeight="1" thickBot="1" x14ac:dyDescent="0.55000000000000004">
      <c r="A79" s="4" t="s">
        <v>95</v>
      </c>
      <c r="B79" s="11" t="s">
        <v>110</v>
      </c>
      <c r="C79" t="s">
        <v>110</v>
      </c>
      <c r="D79" t="s">
        <v>110</v>
      </c>
      <c r="S79" t="s">
        <v>110</v>
      </c>
      <c r="U79" s="13" t="s">
        <v>81</v>
      </c>
      <c r="V79" s="11" t="s">
        <v>87</v>
      </c>
      <c r="AM79" t="s">
        <v>87</v>
      </c>
      <c r="AN79" t="s">
        <v>87</v>
      </c>
      <c r="AO79" t="s">
        <v>87</v>
      </c>
      <c r="AZ79" s="13"/>
      <c r="BA79" s="11" t="s">
        <v>93</v>
      </c>
      <c r="BC79" t="s">
        <v>112</v>
      </c>
      <c r="BO79" t="s">
        <v>111</v>
      </c>
      <c r="BS79" t="s">
        <v>105</v>
      </c>
      <c r="BU79" t="s">
        <v>113</v>
      </c>
      <c r="CA79" s="19"/>
      <c r="CB79" t="s">
        <v>109</v>
      </c>
      <c r="CC79" t="s">
        <v>109</v>
      </c>
      <c r="CD79" t="s">
        <v>109</v>
      </c>
      <c r="CG79" s="13"/>
      <c r="CH79" s="26">
        <v>0.18</v>
      </c>
      <c r="CO79" s="27" t="s">
        <v>201</v>
      </c>
    </row>
    <row r="80" spans="1:93" ht="24" customHeight="1" thickBot="1" x14ac:dyDescent="0.55000000000000004">
      <c r="A80" s="4" t="s">
        <v>96</v>
      </c>
      <c r="B80" s="11"/>
      <c r="U80" s="13"/>
      <c r="V80" s="11"/>
      <c r="AZ80" s="13"/>
      <c r="BA80" s="11"/>
      <c r="BB80" t="s">
        <v>121</v>
      </c>
      <c r="CA80" t="s">
        <v>109</v>
      </c>
      <c r="CB80" s="19"/>
      <c r="CF80" t="s">
        <v>109</v>
      </c>
      <c r="CG80" s="13" t="s">
        <v>117</v>
      </c>
      <c r="CH80" s="26">
        <v>0.18</v>
      </c>
      <c r="CO80" s="27" t="s">
        <v>202</v>
      </c>
    </row>
    <row r="81" spans="1:93" ht="24" customHeight="1" thickBot="1" x14ac:dyDescent="0.55000000000000004">
      <c r="A81" s="4" t="s">
        <v>97</v>
      </c>
      <c r="B81" s="11"/>
      <c r="U81" s="13"/>
      <c r="V81" s="11"/>
      <c r="AZ81" s="13"/>
      <c r="BA81" s="11"/>
      <c r="BB81" t="s">
        <v>121</v>
      </c>
      <c r="BO81" t="s">
        <v>105</v>
      </c>
      <c r="CA81" t="s">
        <v>109</v>
      </c>
      <c r="CC81" s="19"/>
      <c r="CF81" t="s">
        <v>109</v>
      </c>
      <c r="CG81" s="13" t="s">
        <v>117</v>
      </c>
      <c r="CH81" s="26">
        <v>0.18</v>
      </c>
      <c r="CO81" s="27" t="s">
        <v>203</v>
      </c>
    </row>
    <row r="82" spans="1:93" ht="24" customHeight="1" thickBot="1" x14ac:dyDescent="0.55000000000000004">
      <c r="A82" s="4" t="s">
        <v>98</v>
      </c>
      <c r="B82" s="11"/>
      <c r="U82" s="13"/>
      <c r="V82" s="11"/>
      <c r="AZ82" s="13"/>
      <c r="BA82" s="11"/>
      <c r="BB82" t="s">
        <v>114</v>
      </c>
      <c r="BC82" s="21" t="s">
        <v>109</v>
      </c>
      <c r="CA82" t="s">
        <v>109</v>
      </c>
      <c r="CD82" s="19"/>
      <c r="CE82" t="s">
        <v>105</v>
      </c>
      <c r="CF82" t="s">
        <v>109</v>
      </c>
      <c r="CG82" s="13" t="s">
        <v>117</v>
      </c>
      <c r="CH82" s="26">
        <v>0.18</v>
      </c>
      <c r="CO82" s="27" t="s">
        <v>204</v>
      </c>
    </row>
    <row r="83" spans="1:93" ht="24" customHeight="1" thickBot="1" x14ac:dyDescent="0.55000000000000004">
      <c r="A83" s="4" t="s">
        <v>99</v>
      </c>
      <c r="B83" s="11"/>
      <c r="U83" s="13"/>
      <c r="V83" s="11"/>
      <c r="AZ83" s="13"/>
      <c r="BA83" s="11"/>
      <c r="BB83" t="s">
        <v>114</v>
      </c>
      <c r="BC83" s="21" t="s">
        <v>109</v>
      </c>
      <c r="BO83" t="s">
        <v>105</v>
      </c>
      <c r="CE83" s="19"/>
      <c r="CG83" s="13" t="s">
        <v>117</v>
      </c>
      <c r="CH83" s="26">
        <v>0.18</v>
      </c>
      <c r="CO83" s="27" t="s">
        <v>204</v>
      </c>
    </row>
    <row r="84" spans="1:93" ht="24" customHeight="1" thickBot="1" x14ac:dyDescent="0.55000000000000004">
      <c r="A84" s="4" t="s">
        <v>100</v>
      </c>
      <c r="B84" s="11"/>
      <c r="U84" s="13"/>
      <c r="V84" s="11"/>
      <c r="AZ84" s="13"/>
      <c r="BA84" s="11" t="s">
        <v>91</v>
      </c>
      <c r="BB84" t="s">
        <v>91</v>
      </c>
      <c r="BC84" s="21" t="s">
        <v>109</v>
      </c>
      <c r="BD84" t="s">
        <v>91</v>
      </c>
      <c r="BH84" t="s">
        <v>92</v>
      </c>
      <c r="BO84" t="s">
        <v>106</v>
      </c>
      <c r="BQ84" t="s">
        <v>91</v>
      </c>
      <c r="BR84" t="s">
        <v>91</v>
      </c>
      <c r="BS84" t="s">
        <v>91</v>
      </c>
      <c r="BT84" t="s">
        <v>91</v>
      </c>
      <c r="BX84" t="s">
        <v>91</v>
      </c>
      <c r="BY84" t="s">
        <v>91</v>
      </c>
      <c r="BZ84" t="s">
        <v>91</v>
      </c>
      <c r="CA84" t="s">
        <v>105</v>
      </c>
      <c r="CB84" t="s">
        <v>116</v>
      </c>
      <c r="CC84" t="s">
        <v>116</v>
      </c>
      <c r="CD84" t="s">
        <v>109</v>
      </c>
      <c r="CE84" t="s">
        <v>105</v>
      </c>
      <c r="CF84" s="19"/>
      <c r="CG84" s="13" t="s">
        <v>105</v>
      </c>
      <c r="CH84" s="26">
        <v>0.15</v>
      </c>
      <c r="CO84" s="27" t="s">
        <v>205</v>
      </c>
    </row>
    <row r="85" spans="1:93" ht="24" customHeight="1" thickBot="1" x14ac:dyDescent="0.55000000000000004">
      <c r="A85" s="4" t="s">
        <v>101</v>
      </c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8"/>
      <c r="V85" s="14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8"/>
      <c r="BA85" s="14"/>
      <c r="BB85" s="15"/>
      <c r="BC85" s="23" t="s">
        <v>109</v>
      </c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 t="s">
        <v>106</v>
      </c>
      <c r="CC85" s="15" t="s">
        <v>106</v>
      </c>
      <c r="CD85" s="15" t="s">
        <v>106</v>
      </c>
      <c r="CE85" s="15" t="s">
        <v>106</v>
      </c>
      <c r="CF85" s="15" t="s">
        <v>105</v>
      </c>
      <c r="CG85" s="20"/>
      <c r="CH85" s="26">
        <v>0.15</v>
      </c>
      <c r="CO85" s="2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Terelle Cadd</cp:lastModifiedBy>
  <dcterms:modified xsi:type="dcterms:W3CDTF">2026-04-20T21:36:27Z</dcterms:modified>
</cp:coreProperties>
</file>